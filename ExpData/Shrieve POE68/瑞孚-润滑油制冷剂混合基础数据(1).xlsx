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t-yang\Downloads\"/>
    </mc:Choice>
  </mc:AlternateContent>
  <bookViews>
    <workbookView xWindow="28680" yWindow="-120" windowWidth="29040" windowHeight="15720"/>
  </bookViews>
  <sheets>
    <sheet name="Sheet1 (2)" sheetId="2" r:id="rId1"/>
    <sheet name="orig" sheetId="1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2" l="1"/>
  <c r="O23" i="2"/>
  <c r="O21" i="2"/>
  <c r="M22" i="2"/>
  <c r="M23" i="2"/>
  <c r="M21" i="2"/>
  <c r="O15" i="2"/>
  <c r="O16" i="2"/>
  <c r="O14" i="2"/>
  <c r="M15" i="2"/>
  <c r="M16" i="2"/>
  <c r="M14" i="2"/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6" i="2"/>
  <c r="O8" i="2"/>
  <c r="O7" i="2"/>
  <c r="P6" i="2"/>
  <c r="J8" i="1" l="1"/>
  <c r="J7" i="1"/>
  <c r="K6" i="1"/>
</calcChain>
</file>

<file path=xl/sharedStrings.xml><?xml version="1.0" encoding="utf-8"?>
<sst xmlns="http://schemas.openxmlformats.org/spreadsheetml/2006/main" count="1645" uniqueCount="19">
  <si>
    <t>T(K)-绝对温度</t>
    <phoneticPr fontId="1" type="noConversion"/>
  </si>
  <si>
    <t>wt-制冷剂质量占比，最大为1</t>
    <phoneticPr fontId="1" type="noConversion"/>
  </si>
  <si>
    <t>制冷剂：R32</t>
    <phoneticPr fontId="1" type="noConversion"/>
  </si>
  <si>
    <t>润滑油：POE68</t>
    <phoneticPr fontId="1" type="noConversion"/>
  </si>
  <si>
    <t>制冷剂与润滑油混合状态</t>
    <phoneticPr fontId="1" type="noConversion"/>
  </si>
  <si>
    <t>润滑油粘度物性</t>
    <phoneticPr fontId="1" type="noConversion"/>
  </si>
  <si>
    <t>t(°C)-摄氏度</t>
    <phoneticPr fontId="1" type="noConversion"/>
  </si>
  <si>
    <r>
      <t>ρ(</t>
    </r>
    <r>
      <rPr>
        <sz val="11"/>
        <rFont val="Calibri"/>
        <family val="3"/>
        <charset val="134"/>
        <scheme val="minor"/>
      </rPr>
      <t>相对密度）</t>
    </r>
    <phoneticPr fontId="1" type="noConversion"/>
  </si>
  <si>
    <t>Vd(cP)-动力粘度</t>
    <phoneticPr fontId="1" type="noConversion"/>
  </si>
  <si>
    <t>Vk(cSt)-运动粘度</t>
    <phoneticPr fontId="1" type="noConversion"/>
  </si>
  <si>
    <t>P (bar)-气相压力，单位是bar（0.1MPa）</t>
    <phoneticPr fontId="1" type="noConversion"/>
  </si>
  <si>
    <t>数列</t>
    <phoneticPr fontId="1" type="noConversion"/>
  </si>
  <si>
    <t>密度</t>
    <phoneticPr fontId="1" type="noConversion"/>
  </si>
  <si>
    <t>？</t>
    <phoneticPr fontId="1" type="noConversion"/>
  </si>
  <si>
    <t>x[wt% oil]</t>
  </si>
  <si>
    <t>T[K]</t>
  </si>
  <si>
    <t>p[Pa]</t>
  </si>
  <si>
    <t>rho[kg/m3]</t>
  </si>
  <si>
    <t>eta[mPas]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</si>
</sst>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_);[Red]\(0.000\)"/>
  </numFmts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7"/>
  <sheetViews>
    <sheetView tabSelected="1" topLeftCell="B1" workbookViewId="0">
      <selection activeCell="N31" sqref="N31"/>
    </sheetView>
  </sheetViews>
  <sheetFormatPr defaultRowHeight="14.4"/>
  <cols>
    <col min="1" max="1" width="14.44140625" customWidth="1"/>
    <col min="2" max="2" width="15.33203125" customWidth="1"/>
    <col min="3" max="3" width="27.21875" customWidth="1"/>
    <col min="4" max="4" width="36.44140625" bestFit="1" customWidth="1"/>
    <col min="5" max="5" width="8.44140625" customWidth="1"/>
    <col min="6" max="7" width="6.6640625" customWidth="1"/>
    <col min="8" max="8" width="9.6640625" customWidth="1"/>
    <col min="9" max="12" width="11.44140625" customWidth="1"/>
    <col min="13" max="13" width="14.88671875" customWidth="1"/>
    <col min="14" max="14" width="14.44140625" customWidth="1"/>
    <col min="15" max="15" width="19.109375" customWidth="1"/>
    <col min="16" max="16" width="17.5546875" customWidth="1"/>
  </cols>
  <sheetData>
    <row r="1" spans="1:16">
      <c r="A1" t="s">
        <v>2</v>
      </c>
    </row>
    <row r="2" spans="1:16">
      <c r="A2" t="s">
        <v>3</v>
      </c>
    </row>
    <row r="4" spans="1:16">
      <c r="A4" s="7" t="s">
        <v>4</v>
      </c>
      <c r="B4" s="7"/>
      <c r="C4" s="7"/>
      <c r="D4" s="7"/>
      <c r="E4" s="7"/>
      <c r="F4" s="7"/>
      <c r="G4" s="5"/>
      <c r="M4" t="s">
        <v>5</v>
      </c>
    </row>
    <row r="5" spans="1:16">
      <c r="A5" t="s">
        <v>11</v>
      </c>
      <c r="B5" t="s">
        <v>0</v>
      </c>
      <c r="C5" t="s">
        <v>1</v>
      </c>
      <c r="D5" t="s">
        <v>10</v>
      </c>
      <c r="E5" t="s">
        <v>12</v>
      </c>
      <c r="F5" s="5" t="s">
        <v>9</v>
      </c>
      <c r="G5" s="5"/>
      <c r="I5" t="s">
        <v>14</v>
      </c>
      <c r="J5" t="s">
        <v>15</v>
      </c>
      <c r="K5" t="s">
        <v>16</v>
      </c>
      <c r="M5" s="5" t="s">
        <v>6</v>
      </c>
      <c r="N5" s="4" t="s">
        <v>7</v>
      </c>
      <c r="O5" s="4" t="s">
        <v>8</v>
      </c>
      <c r="P5" s="5" t="s">
        <v>9</v>
      </c>
    </row>
    <row r="6" spans="1:16">
      <c r="A6">
        <v>1</v>
      </c>
      <c r="B6">
        <v>275.14999999999998</v>
      </c>
      <c r="C6">
        <v>5.2695111529843339E-2</v>
      </c>
      <c r="D6">
        <v>2.5014642760532952</v>
      </c>
      <c r="E6" s="6" t="s">
        <v>13</v>
      </c>
      <c r="F6" s="6" t="s">
        <v>13</v>
      </c>
      <c r="G6" s="6"/>
      <c r="I6">
        <f>(1-C6)*100</f>
        <v>94.730488847015664</v>
      </c>
      <c r="J6">
        <f>B6</f>
        <v>275.14999999999998</v>
      </c>
      <c r="K6">
        <f>D6*100000</f>
        <v>250146.42760532952</v>
      </c>
      <c r="M6" s="5">
        <v>15</v>
      </c>
      <c r="N6" s="2">
        <v>1.0022</v>
      </c>
      <c r="O6" s="3">
        <v>395.93</v>
      </c>
      <c r="P6" s="3">
        <f>O6/N6</f>
        <v>395.06086609459192</v>
      </c>
    </row>
    <row r="7" spans="1:16">
      <c r="A7">
        <v>2</v>
      </c>
      <c r="B7">
        <v>276.14999999999998</v>
      </c>
      <c r="C7">
        <v>5.2436090982390049E-2</v>
      </c>
      <c r="D7">
        <v>2.5545769428342284</v>
      </c>
      <c r="E7" s="6" t="s">
        <v>13</v>
      </c>
      <c r="F7" s="6" t="s">
        <v>13</v>
      </c>
      <c r="G7" s="6"/>
      <c r="I7">
        <f t="shared" ref="I7:I70" si="0">(1-C7)*100</f>
        <v>94.756390901760994</v>
      </c>
      <c r="J7">
        <f t="shared" ref="J7:J70" si="1">B7</f>
        <v>276.14999999999998</v>
      </c>
      <c r="K7">
        <f t="shared" ref="K7:K70" si="2">D7*100000</f>
        <v>255457.69428342284</v>
      </c>
      <c r="M7" s="5">
        <v>40</v>
      </c>
      <c r="N7" s="2">
        <v>1</v>
      </c>
      <c r="O7" s="3">
        <f>P7*N7</f>
        <v>67.847999999999999</v>
      </c>
      <c r="P7" s="3">
        <v>67.847999999999999</v>
      </c>
    </row>
    <row r="8" spans="1:16">
      <c r="A8">
        <v>3</v>
      </c>
      <c r="B8">
        <v>277.14999999999998</v>
      </c>
      <c r="C8">
        <v>5.2176914275327196E-2</v>
      </c>
      <c r="D8">
        <v>2.6081293114114583</v>
      </c>
      <c r="E8" s="6" t="s">
        <v>13</v>
      </c>
      <c r="F8" s="6" t="s">
        <v>13</v>
      </c>
      <c r="G8" s="6"/>
      <c r="I8">
        <f t="shared" si="0"/>
        <v>94.782308572467272</v>
      </c>
      <c r="J8">
        <f t="shared" si="1"/>
        <v>277.14999999999998</v>
      </c>
      <c r="K8">
        <f t="shared" si="2"/>
        <v>260812.93114114582</v>
      </c>
      <c r="M8" s="5">
        <v>100</v>
      </c>
      <c r="N8" s="2">
        <v>0.96020000000000005</v>
      </c>
      <c r="O8" s="3">
        <f>P8*N8</f>
        <v>7.9449828600000005</v>
      </c>
      <c r="P8" s="3">
        <v>8.2743000000000002</v>
      </c>
    </row>
    <row r="9" spans="1:16">
      <c r="A9">
        <v>4</v>
      </c>
      <c r="B9">
        <v>278.14999999999998</v>
      </c>
      <c r="C9">
        <v>5.1917605837360319E-2</v>
      </c>
      <c r="D9">
        <v>2.662114534249056</v>
      </c>
      <c r="E9" s="6" t="s">
        <v>13</v>
      </c>
      <c r="F9" s="6" t="s">
        <v>13</v>
      </c>
      <c r="G9" s="6"/>
      <c r="I9">
        <f t="shared" si="0"/>
        <v>94.808239416263973</v>
      </c>
      <c r="J9">
        <f t="shared" si="1"/>
        <v>278.14999999999998</v>
      </c>
      <c r="K9">
        <f t="shared" si="2"/>
        <v>266211.4534249056</v>
      </c>
    </row>
    <row r="10" spans="1:16">
      <c r="A10">
        <v>5</v>
      </c>
      <c r="B10">
        <v>279.14999999999998</v>
      </c>
      <c r="C10">
        <v>5.1658190097194988E-2</v>
      </c>
      <c r="D10">
        <v>2.7165257638110938</v>
      </c>
      <c r="E10" s="6" t="s">
        <v>13</v>
      </c>
      <c r="F10" s="6" t="s">
        <v>13</v>
      </c>
      <c r="G10" s="6"/>
      <c r="I10">
        <f t="shared" si="0"/>
        <v>94.834180990280501</v>
      </c>
      <c r="J10">
        <f t="shared" si="1"/>
        <v>279.14999999999998</v>
      </c>
      <c r="K10">
        <f t="shared" si="2"/>
        <v>271652.57638110936</v>
      </c>
    </row>
    <row r="11" spans="1:16">
      <c r="A11">
        <v>6</v>
      </c>
      <c r="B11">
        <v>280.14999999999998</v>
      </c>
      <c r="C11">
        <v>5.1398691483536783E-2</v>
      </c>
      <c r="D11">
        <v>2.7713561525616415</v>
      </c>
      <c r="E11" s="6" t="s">
        <v>13</v>
      </c>
      <c r="F11" s="6" t="s">
        <v>13</v>
      </c>
      <c r="G11" s="6"/>
      <c r="I11">
        <f t="shared" si="0"/>
        <v>94.860130851646318</v>
      </c>
      <c r="J11">
        <f t="shared" si="1"/>
        <v>280.14999999999998</v>
      </c>
      <c r="K11">
        <f t="shared" si="2"/>
        <v>277135.61525616416</v>
      </c>
    </row>
    <row r="12" spans="1:16">
      <c r="A12">
        <v>7</v>
      </c>
      <c r="B12">
        <v>281.14999999999998</v>
      </c>
      <c r="C12">
        <v>5.1139134425091243E-2</v>
      </c>
      <c r="D12">
        <v>2.8265988529647705</v>
      </c>
      <c r="E12" s="6" t="s">
        <v>13</v>
      </c>
      <c r="F12" s="6" t="s">
        <v>13</v>
      </c>
      <c r="G12" s="6"/>
      <c r="I12">
        <f t="shared" si="0"/>
        <v>94.886086557490884</v>
      </c>
      <c r="J12">
        <f t="shared" si="1"/>
        <v>281.14999999999998</v>
      </c>
      <c r="K12">
        <f t="shared" si="2"/>
        <v>282659.88529647706</v>
      </c>
    </row>
    <row r="13" spans="1:16">
      <c r="A13">
        <v>8</v>
      </c>
      <c r="B13">
        <v>282.14999999999998</v>
      </c>
      <c r="C13">
        <v>5.0879543350563931E-2</v>
      </c>
      <c r="D13">
        <v>2.8822470174845529</v>
      </c>
      <c r="E13" s="6" t="s">
        <v>13</v>
      </c>
      <c r="F13" s="6" t="s">
        <v>13</v>
      </c>
      <c r="G13" s="6"/>
      <c r="I13">
        <f t="shared" si="0"/>
        <v>94.912045664943605</v>
      </c>
      <c r="J13">
        <f t="shared" si="1"/>
        <v>282.14999999999998</v>
      </c>
      <c r="K13">
        <f t="shared" si="2"/>
        <v>288224.70174845529</v>
      </c>
      <c r="M13" t="s">
        <v>15</v>
      </c>
      <c r="N13" t="s">
        <v>16</v>
      </c>
      <c r="O13" t="s">
        <v>17</v>
      </c>
    </row>
    <row r="14" spans="1:16">
      <c r="A14">
        <v>9</v>
      </c>
      <c r="B14">
        <v>283.14999999999998</v>
      </c>
      <c r="C14">
        <v>5.0619942688660428E-2</v>
      </c>
      <c r="D14">
        <v>2.9382937985850588</v>
      </c>
      <c r="E14" s="6" t="s">
        <v>13</v>
      </c>
      <c r="F14" s="6" t="s">
        <v>13</v>
      </c>
      <c r="G14" s="6"/>
      <c r="I14">
        <f t="shared" si="0"/>
        <v>94.938005731133956</v>
      </c>
      <c r="J14">
        <f t="shared" si="1"/>
        <v>283.14999999999998</v>
      </c>
      <c r="K14">
        <f t="shared" si="2"/>
        <v>293829.37985850585</v>
      </c>
      <c r="M14">
        <f>M6+273.15</f>
        <v>288.14999999999998</v>
      </c>
      <c r="N14">
        <v>100000</v>
      </c>
      <c r="O14">
        <f>N6*1000</f>
        <v>1002.1999999999999</v>
      </c>
    </row>
    <row r="15" spans="1:16">
      <c r="A15">
        <v>10</v>
      </c>
      <c r="B15">
        <v>284.14999999999998</v>
      </c>
      <c r="C15">
        <v>5.0360356868086278E-2</v>
      </c>
      <c r="D15">
        <v>2.9947323487303601</v>
      </c>
      <c r="E15" s="6" t="s">
        <v>13</v>
      </c>
      <c r="F15" s="6" t="s">
        <v>13</v>
      </c>
      <c r="G15" s="6"/>
      <c r="I15">
        <f t="shared" si="0"/>
        <v>94.963964313191369</v>
      </c>
      <c r="J15">
        <f t="shared" si="1"/>
        <v>284.14999999999998</v>
      </c>
      <c r="K15">
        <f t="shared" si="2"/>
        <v>299473.23487303598</v>
      </c>
      <c r="M15">
        <f t="shared" ref="M15:M16" si="3">M7+273.15</f>
        <v>313.14999999999998</v>
      </c>
      <c r="N15">
        <v>100000</v>
      </c>
      <c r="O15">
        <f t="shared" ref="O15:O16" si="4">N7*1000</f>
        <v>1000</v>
      </c>
    </row>
    <row r="16" spans="1:16">
      <c r="A16">
        <v>11</v>
      </c>
      <c r="B16">
        <v>285.14999999999998</v>
      </c>
      <c r="C16">
        <v>5.010081031754704E-2</v>
      </c>
      <c r="D16">
        <v>3.0515558203845274</v>
      </c>
      <c r="E16" s="6" t="s">
        <v>13</v>
      </c>
      <c r="F16" s="6" t="s">
        <v>13</v>
      </c>
      <c r="G16" s="6"/>
      <c r="I16">
        <f t="shared" si="0"/>
        <v>94.989918968245291</v>
      </c>
      <c r="J16">
        <f t="shared" si="1"/>
        <v>285.14999999999998</v>
      </c>
      <c r="K16">
        <f t="shared" si="2"/>
        <v>305155.58203845273</v>
      </c>
      <c r="M16">
        <f t="shared" si="3"/>
        <v>373.15</v>
      </c>
      <c r="N16">
        <v>100000</v>
      </c>
      <c r="O16">
        <f t="shared" si="4"/>
        <v>960.2</v>
      </c>
    </row>
    <row r="17" spans="1:15">
      <c r="A17">
        <v>12</v>
      </c>
      <c r="B17">
        <v>286.14999999999998</v>
      </c>
      <c r="C17">
        <v>4.9841327465748292E-2</v>
      </c>
      <c r="D17">
        <v>3.1087573660116314</v>
      </c>
      <c r="E17" s="6" t="s">
        <v>13</v>
      </c>
      <c r="F17" s="6" t="s">
        <v>13</v>
      </c>
      <c r="G17" s="6"/>
      <c r="I17">
        <f t="shared" si="0"/>
        <v>95.015867253425171</v>
      </c>
      <c r="J17">
        <f t="shared" si="1"/>
        <v>286.14999999999998</v>
      </c>
      <c r="K17">
        <f t="shared" si="2"/>
        <v>310875.73660116317</v>
      </c>
    </row>
    <row r="18" spans="1:15">
      <c r="A18">
        <v>13</v>
      </c>
      <c r="B18">
        <v>287.14999999999998</v>
      </c>
      <c r="C18">
        <v>4.9581932741395593E-2</v>
      </c>
      <c r="D18">
        <v>3.1663301380757449</v>
      </c>
      <c r="E18" s="6" t="s">
        <v>13</v>
      </c>
      <c r="F18" s="6" t="s">
        <v>13</v>
      </c>
      <c r="G18" s="6"/>
      <c r="I18">
        <f t="shared" si="0"/>
        <v>95.04180672586044</v>
      </c>
      <c r="J18">
        <f t="shared" si="1"/>
        <v>287.14999999999998</v>
      </c>
      <c r="K18">
        <f t="shared" si="2"/>
        <v>316633.01380757452</v>
      </c>
    </row>
    <row r="19" spans="1:15">
      <c r="A19">
        <v>14</v>
      </c>
      <c r="B19">
        <v>288.14999999999998</v>
      </c>
      <c r="C19">
        <v>4.9322650573194501E-2</v>
      </c>
      <c r="D19">
        <v>3.2242672890409372</v>
      </c>
      <c r="E19" s="6" t="s">
        <v>13</v>
      </c>
      <c r="F19" s="6" t="s">
        <v>13</v>
      </c>
      <c r="G19" s="6"/>
      <c r="I19">
        <f t="shared" si="0"/>
        <v>95.067734942680545</v>
      </c>
      <c r="J19">
        <f t="shared" si="1"/>
        <v>288.14999999999998</v>
      </c>
      <c r="K19">
        <f t="shared" si="2"/>
        <v>322426.72890409373</v>
      </c>
    </row>
    <row r="20" spans="1:15">
      <c r="A20">
        <v>15</v>
      </c>
      <c r="B20">
        <v>289.14999999999998</v>
      </c>
      <c r="C20">
        <v>4.9063505389850576E-2</v>
      </c>
      <c r="D20">
        <v>3.2825619713712806</v>
      </c>
      <c r="E20" s="6" t="s">
        <v>13</v>
      </c>
      <c r="F20" s="6" t="s">
        <v>13</v>
      </c>
      <c r="G20" s="6"/>
      <c r="I20">
        <f t="shared" si="0"/>
        <v>95.093649461014934</v>
      </c>
      <c r="J20">
        <f t="shared" si="1"/>
        <v>289.14999999999998</v>
      </c>
      <c r="K20">
        <f t="shared" si="2"/>
        <v>328256.19713712804</v>
      </c>
      <c r="M20" t="s">
        <v>15</v>
      </c>
      <c r="N20" t="s">
        <v>16</v>
      </c>
      <c r="O20" t="s">
        <v>18</v>
      </c>
    </row>
    <row r="21" spans="1:15">
      <c r="A21">
        <v>16</v>
      </c>
      <c r="B21">
        <v>290.14999999999998</v>
      </c>
      <c r="C21">
        <v>4.8804521620069381E-2</v>
      </c>
      <c r="D21">
        <v>3.3412073375308453</v>
      </c>
      <c r="E21" s="6" t="s">
        <v>13</v>
      </c>
      <c r="F21" s="6" t="s">
        <v>13</v>
      </c>
      <c r="G21" s="6"/>
      <c r="I21">
        <f t="shared" si="0"/>
        <v>95.119547837993053</v>
      </c>
      <c r="J21">
        <f t="shared" si="1"/>
        <v>290.14999999999998</v>
      </c>
      <c r="K21">
        <f t="shared" si="2"/>
        <v>334120.73375308455</v>
      </c>
      <c r="M21">
        <f>M6+273.15</f>
        <v>288.14999999999998</v>
      </c>
      <c r="N21">
        <v>100000</v>
      </c>
      <c r="O21" s="8">
        <f>O6</f>
        <v>395.93</v>
      </c>
    </row>
    <row r="22" spans="1:15">
      <c r="A22">
        <v>17</v>
      </c>
      <c r="B22">
        <v>291.14999999999998</v>
      </c>
      <c r="C22">
        <v>4.854572369255649E-2</v>
      </c>
      <c r="D22">
        <v>3.4001965399837033</v>
      </c>
      <c r="E22" s="6" t="s">
        <v>13</v>
      </c>
      <c r="F22" s="6" t="s">
        <v>13</v>
      </c>
      <c r="G22" s="6"/>
      <c r="I22">
        <f t="shared" si="0"/>
        <v>95.145427630744351</v>
      </c>
      <c r="J22">
        <f t="shared" si="1"/>
        <v>291.14999999999998</v>
      </c>
      <c r="K22">
        <f t="shared" si="2"/>
        <v>340019.65399837034</v>
      </c>
      <c r="M22">
        <f t="shared" ref="M22:M23" si="5">M7+273.15</f>
        <v>313.14999999999998</v>
      </c>
      <c r="N22">
        <v>100000</v>
      </c>
      <c r="O22" s="8">
        <f t="shared" ref="O22:O23" si="6">O7</f>
        <v>67.847999999999999</v>
      </c>
    </row>
    <row r="23" spans="1:15">
      <c r="A23">
        <v>18</v>
      </c>
      <c r="B23">
        <v>292.14999999999998</v>
      </c>
      <c r="C23">
        <v>4.8287136036017447E-2</v>
      </c>
      <c r="D23">
        <v>3.4595227311939256</v>
      </c>
      <c r="E23" s="6" t="s">
        <v>13</v>
      </c>
      <c r="F23" s="6" t="s">
        <v>13</v>
      </c>
      <c r="G23" s="6"/>
      <c r="I23">
        <f t="shared" si="0"/>
        <v>95.171286396398258</v>
      </c>
      <c r="J23">
        <f t="shared" si="1"/>
        <v>292.14999999999998</v>
      </c>
      <c r="K23">
        <f t="shared" si="2"/>
        <v>345952.27311939257</v>
      </c>
      <c r="M23">
        <f t="shared" si="5"/>
        <v>373.15</v>
      </c>
      <c r="N23">
        <v>100000</v>
      </c>
      <c r="O23" s="8">
        <f t="shared" si="6"/>
        <v>7.9449828600000005</v>
      </c>
    </row>
    <row r="24" spans="1:15">
      <c r="A24">
        <v>19</v>
      </c>
      <c r="B24">
        <v>293.14999999999998</v>
      </c>
      <c r="C24">
        <v>4.8028783079157825E-2</v>
      </c>
      <c r="D24">
        <v>3.5191790636255829</v>
      </c>
      <c r="E24" s="6" t="s">
        <v>13</v>
      </c>
      <c r="F24" s="6" t="s">
        <v>13</v>
      </c>
      <c r="G24" s="6"/>
      <c r="I24">
        <f t="shared" si="0"/>
        <v>95.197121692084224</v>
      </c>
      <c r="J24">
        <f t="shared" si="1"/>
        <v>293.14999999999998</v>
      </c>
      <c r="K24">
        <f t="shared" si="2"/>
        <v>351917.90636255831</v>
      </c>
    </row>
    <row r="25" spans="1:15">
      <c r="A25">
        <v>20</v>
      </c>
      <c r="B25">
        <v>294.14999999999998</v>
      </c>
      <c r="C25">
        <v>4.7770689250683174E-2</v>
      </c>
      <c r="D25">
        <v>3.5791586897427465</v>
      </c>
      <c r="E25" s="6" t="s">
        <v>13</v>
      </c>
      <c r="F25" s="6" t="s">
        <v>13</v>
      </c>
      <c r="G25" s="6"/>
      <c r="I25">
        <f t="shared" si="0"/>
        <v>95.22293107493168</v>
      </c>
      <c r="J25">
        <f t="shared" si="1"/>
        <v>294.14999999999998</v>
      </c>
      <c r="K25">
        <f t="shared" si="2"/>
        <v>357915.86897427466</v>
      </c>
    </row>
    <row r="26" spans="1:15">
      <c r="A26">
        <v>21</v>
      </c>
      <c r="B26">
        <v>295.14999999999998</v>
      </c>
      <c r="C26">
        <v>4.7512878979299074E-2</v>
      </c>
      <c r="D26">
        <v>3.6394547620094877</v>
      </c>
      <c r="E26" s="6" t="s">
        <v>13</v>
      </c>
      <c r="F26" s="6" t="s">
        <v>13</v>
      </c>
      <c r="G26" s="6"/>
      <c r="I26">
        <f t="shared" si="0"/>
        <v>95.248712102070087</v>
      </c>
      <c r="J26">
        <f t="shared" si="1"/>
        <v>295.14999999999998</v>
      </c>
      <c r="K26">
        <f t="shared" si="2"/>
        <v>363945.47620094876</v>
      </c>
    </row>
    <row r="27" spans="1:15">
      <c r="A27">
        <v>22</v>
      </c>
      <c r="B27">
        <v>296.14999999999998</v>
      </c>
      <c r="C27">
        <v>4.7255376693711076E-2</v>
      </c>
      <c r="D27">
        <v>3.7000604328898778</v>
      </c>
      <c r="E27" s="6" t="s">
        <v>13</v>
      </c>
      <c r="F27" s="6" t="s">
        <v>13</v>
      </c>
      <c r="G27" s="6"/>
      <c r="I27">
        <f t="shared" si="0"/>
        <v>95.274462330628893</v>
      </c>
      <c r="J27">
        <f t="shared" si="1"/>
        <v>296.14999999999998</v>
      </c>
      <c r="K27">
        <f t="shared" si="2"/>
        <v>370006.04328898777</v>
      </c>
    </row>
    <row r="28" spans="1:15">
      <c r="A28">
        <v>23</v>
      </c>
      <c r="B28">
        <v>297.14999999999998</v>
      </c>
      <c r="C28">
        <v>4.6998206822624747E-2</v>
      </c>
      <c r="D28">
        <v>3.7609688548479876</v>
      </c>
      <c r="E28" s="6" t="s">
        <v>13</v>
      </c>
      <c r="F28" s="6" t="s">
        <v>13</v>
      </c>
      <c r="G28" s="6"/>
      <c r="I28">
        <f t="shared" si="0"/>
        <v>95.300179317737516</v>
      </c>
      <c r="J28">
        <f t="shared" si="1"/>
        <v>297.14999999999998</v>
      </c>
      <c r="K28">
        <f t="shared" si="2"/>
        <v>376096.88548479875</v>
      </c>
    </row>
    <row r="29" spans="1:15">
      <c r="A29">
        <v>24</v>
      </c>
      <c r="B29">
        <v>298.14999999999998</v>
      </c>
      <c r="C29">
        <v>4.674139379474565E-2</v>
      </c>
      <c r="D29">
        <v>3.822173180347888</v>
      </c>
      <c r="E29" s="6" t="s">
        <v>13</v>
      </c>
      <c r="F29" s="6" t="s">
        <v>13</v>
      </c>
      <c r="G29" s="6"/>
      <c r="I29">
        <f t="shared" si="0"/>
        <v>95.325860620525432</v>
      </c>
      <c r="J29">
        <f t="shared" si="1"/>
        <v>298.14999999999998</v>
      </c>
      <c r="K29">
        <f t="shared" si="2"/>
        <v>382217.31803478883</v>
      </c>
    </row>
    <row r="30" spans="1:15">
      <c r="A30">
        <v>25</v>
      </c>
      <c r="B30">
        <v>299.14999999999998</v>
      </c>
      <c r="C30">
        <v>4.6484962038779339E-2</v>
      </c>
      <c r="D30">
        <v>3.883666561853651</v>
      </c>
      <c r="E30" s="6" t="s">
        <v>13</v>
      </c>
      <c r="F30" s="6" t="s">
        <v>13</v>
      </c>
      <c r="G30" s="6"/>
      <c r="I30">
        <f t="shared" si="0"/>
        <v>95.35150379612206</v>
      </c>
      <c r="J30">
        <f t="shared" si="1"/>
        <v>299.14999999999998</v>
      </c>
      <c r="K30">
        <f t="shared" si="2"/>
        <v>388366.65618536511</v>
      </c>
    </row>
    <row r="31" spans="1:15">
      <c r="A31">
        <v>26</v>
      </c>
      <c r="B31">
        <v>300.14999999999998</v>
      </c>
      <c r="C31">
        <v>4.6228935983431384E-2</v>
      </c>
      <c r="D31">
        <v>3.9454421518293472</v>
      </c>
      <c r="E31" s="6" t="s">
        <v>13</v>
      </c>
      <c r="F31" s="6" t="s">
        <v>13</v>
      </c>
      <c r="G31" s="6"/>
      <c r="I31">
        <f t="shared" si="0"/>
        <v>95.37710640165686</v>
      </c>
      <c r="J31">
        <f t="shared" si="1"/>
        <v>300.14999999999998</v>
      </c>
      <c r="K31">
        <f t="shared" si="2"/>
        <v>394544.21518293471</v>
      </c>
    </row>
    <row r="32" spans="1:15">
      <c r="A32">
        <v>27</v>
      </c>
      <c r="B32">
        <v>301.14999999999998</v>
      </c>
      <c r="C32">
        <v>4.5973340057407337E-2</v>
      </c>
      <c r="D32">
        <v>4.0074931027390477</v>
      </c>
      <c r="E32" s="6" t="s">
        <v>13</v>
      </c>
      <c r="F32" s="6" t="s">
        <v>13</v>
      </c>
      <c r="G32" s="6"/>
      <c r="I32">
        <f t="shared" si="0"/>
        <v>95.402665994259266</v>
      </c>
      <c r="J32">
        <f t="shared" si="1"/>
        <v>301.14999999999998</v>
      </c>
      <c r="K32">
        <f t="shared" si="2"/>
        <v>400749.31027390476</v>
      </c>
    </row>
    <row r="33" spans="1:11">
      <c r="A33">
        <v>28</v>
      </c>
      <c r="B33">
        <v>302.14999999999998</v>
      </c>
      <c r="C33">
        <v>4.5718198689412778E-2</v>
      </c>
      <c r="D33">
        <v>4.0698125670468226</v>
      </c>
      <c r="E33" s="6" t="s">
        <v>13</v>
      </c>
      <c r="F33" s="6" t="s">
        <v>13</v>
      </c>
      <c r="G33" s="6"/>
      <c r="I33">
        <f t="shared" si="0"/>
        <v>95.428180131058724</v>
      </c>
      <c r="J33">
        <f t="shared" si="1"/>
        <v>302.14999999999998</v>
      </c>
      <c r="K33">
        <f t="shared" si="2"/>
        <v>406981.25670468225</v>
      </c>
    </row>
    <row r="34" spans="1:11">
      <c r="A34">
        <v>29</v>
      </c>
      <c r="B34">
        <v>303.14999999999998</v>
      </c>
      <c r="C34">
        <v>4.5463536308153252E-2</v>
      </c>
      <c r="D34">
        <v>4.1323936972167452</v>
      </c>
      <c r="E34" s="6" t="s">
        <v>13</v>
      </c>
      <c r="F34" s="6" t="s">
        <v>13</v>
      </c>
      <c r="G34" s="6"/>
      <c r="I34">
        <f t="shared" si="0"/>
        <v>95.453646369184668</v>
      </c>
      <c r="J34">
        <f t="shared" si="1"/>
        <v>303.14999999999998</v>
      </c>
      <c r="K34">
        <f t="shared" si="2"/>
        <v>413239.36972167453</v>
      </c>
    </row>
    <row r="35" spans="1:11">
      <c r="A35">
        <v>30</v>
      </c>
      <c r="B35">
        <v>304.14999999999998</v>
      </c>
      <c r="C35">
        <v>4.5209377342334336E-2</v>
      </c>
      <c r="D35">
        <v>4.1952296457128853</v>
      </c>
      <c r="E35" s="6" t="s">
        <v>13</v>
      </c>
      <c r="F35" s="6" t="s">
        <v>13</v>
      </c>
      <c r="G35" s="6"/>
      <c r="I35">
        <f t="shared" si="0"/>
        <v>95.479062265766572</v>
      </c>
      <c r="J35">
        <f t="shared" si="1"/>
        <v>304.14999999999998</v>
      </c>
      <c r="K35">
        <f t="shared" si="2"/>
        <v>419522.96457128855</v>
      </c>
    </row>
    <row r="36" spans="1:11">
      <c r="A36">
        <v>31</v>
      </c>
      <c r="B36">
        <v>305.14999999999998</v>
      </c>
      <c r="C36">
        <v>4.4955746220661577E-2</v>
      </c>
      <c r="D36">
        <v>4.2583135649993151</v>
      </c>
      <c r="E36" s="6" t="s">
        <v>13</v>
      </c>
      <c r="F36" s="6" t="s">
        <v>13</v>
      </c>
      <c r="G36" s="6"/>
      <c r="I36">
        <f t="shared" si="0"/>
        <v>95.504425377933842</v>
      </c>
      <c r="J36">
        <f t="shared" si="1"/>
        <v>305.14999999999998</v>
      </c>
      <c r="K36">
        <f t="shared" si="2"/>
        <v>425831.35649993148</v>
      </c>
    </row>
    <row r="37" spans="1:11">
      <c r="A37">
        <v>32</v>
      </c>
      <c r="B37">
        <v>306.14999999999998</v>
      </c>
      <c r="C37">
        <v>4.4702667371840546E-2</v>
      </c>
      <c r="D37">
        <v>4.3216386075401036</v>
      </c>
      <c r="E37" s="6" t="s">
        <v>13</v>
      </c>
      <c r="F37" s="6" t="s">
        <v>13</v>
      </c>
      <c r="G37" s="6"/>
      <c r="I37">
        <f t="shared" si="0"/>
        <v>95.529733262815938</v>
      </c>
      <c r="J37">
        <f t="shared" si="1"/>
        <v>306.14999999999998</v>
      </c>
      <c r="K37">
        <f t="shared" si="2"/>
        <v>432163.86075401038</v>
      </c>
    </row>
    <row r="38" spans="1:11">
      <c r="A38">
        <v>33</v>
      </c>
      <c r="B38">
        <v>307.14999999999998</v>
      </c>
      <c r="C38">
        <v>4.4450165224576808E-2</v>
      </c>
      <c r="D38">
        <v>4.3851979257993232</v>
      </c>
      <c r="E38" s="6" t="s">
        <v>13</v>
      </c>
      <c r="F38" s="6" t="s">
        <v>13</v>
      </c>
      <c r="G38" s="6"/>
      <c r="I38">
        <f t="shared" si="0"/>
        <v>95.554983477542322</v>
      </c>
      <c r="J38">
        <f t="shared" si="1"/>
        <v>307.14999999999998</v>
      </c>
      <c r="K38">
        <f t="shared" si="2"/>
        <v>438519.79257993231</v>
      </c>
    </row>
    <row r="39" spans="1:11">
      <c r="A39">
        <v>34</v>
      </c>
      <c r="B39">
        <v>308.14999999999998</v>
      </c>
      <c r="C39">
        <v>4.4198264207575916E-2</v>
      </c>
      <c r="D39">
        <v>4.4489846722410471</v>
      </c>
      <c r="E39" s="6" t="s">
        <v>13</v>
      </c>
      <c r="F39" s="6" t="s">
        <v>13</v>
      </c>
      <c r="G39" s="6"/>
      <c r="I39">
        <f t="shared" si="0"/>
        <v>95.580173579242413</v>
      </c>
      <c r="J39">
        <f t="shared" si="1"/>
        <v>308.14999999999998</v>
      </c>
      <c r="K39">
        <f t="shared" si="2"/>
        <v>444898.46722410474</v>
      </c>
    </row>
    <row r="40" spans="1:11">
      <c r="A40">
        <v>35</v>
      </c>
      <c r="B40">
        <v>309.14999999999998</v>
      </c>
      <c r="C40">
        <v>4.3946988749543434E-2</v>
      </c>
      <c r="D40">
        <v>4.5129919993293415</v>
      </c>
      <c r="E40" s="6" t="s">
        <v>13</v>
      </c>
      <c r="F40" s="6" t="s">
        <v>13</v>
      </c>
      <c r="G40" s="6"/>
      <c r="I40">
        <f t="shared" si="0"/>
        <v>95.605301125045656</v>
      </c>
      <c r="J40">
        <f t="shared" si="1"/>
        <v>309.14999999999998</v>
      </c>
      <c r="K40">
        <f t="shared" si="2"/>
        <v>451299.19993293413</v>
      </c>
    </row>
    <row r="41" spans="1:11">
      <c r="A41">
        <v>36</v>
      </c>
      <c r="B41">
        <v>310.14999999999998</v>
      </c>
      <c r="C41">
        <v>4.3696363279184927E-2</v>
      </c>
      <c r="D41">
        <v>4.5772130595282832</v>
      </c>
      <c r="E41" s="6" t="s">
        <v>13</v>
      </c>
      <c r="F41" s="6" t="s">
        <v>13</v>
      </c>
      <c r="G41" s="6"/>
      <c r="I41">
        <f t="shared" si="0"/>
        <v>95.630363672081515</v>
      </c>
      <c r="J41">
        <f t="shared" si="1"/>
        <v>310.14999999999998</v>
      </c>
      <c r="K41">
        <f t="shared" si="2"/>
        <v>457721.30595282832</v>
      </c>
    </row>
    <row r="42" spans="1:11">
      <c r="A42">
        <v>37</v>
      </c>
      <c r="B42">
        <v>311.14999999999998</v>
      </c>
      <c r="C42">
        <v>4.3446412225205955E-2</v>
      </c>
      <c r="D42">
        <v>4.6416410053019383</v>
      </c>
      <c r="E42" s="6" t="s">
        <v>13</v>
      </c>
      <c r="F42" s="6" t="s">
        <v>13</v>
      </c>
      <c r="G42" s="6"/>
      <c r="I42">
        <f t="shared" si="0"/>
        <v>95.655358777479407</v>
      </c>
      <c r="J42">
        <f t="shared" si="1"/>
        <v>311.14999999999998</v>
      </c>
      <c r="K42">
        <f t="shared" si="2"/>
        <v>464164.10053019383</v>
      </c>
    </row>
    <row r="43" spans="1:11">
      <c r="A43">
        <v>38</v>
      </c>
      <c r="B43">
        <v>312.14999999999998</v>
      </c>
      <c r="C43">
        <v>4.3197160016312096E-2</v>
      </c>
      <c r="D43">
        <v>4.7062689891143821</v>
      </c>
      <c r="E43" s="6" t="s">
        <v>13</v>
      </c>
      <c r="F43" s="6" t="s">
        <v>13</v>
      </c>
      <c r="G43" s="6"/>
      <c r="I43">
        <f t="shared" si="0"/>
        <v>95.680283998368793</v>
      </c>
      <c r="J43">
        <f t="shared" si="1"/>
        <v>312.14999999999998</v>
      </c>
      <c r="K43">
        <f t="shared" si="2"/>
        <v>470626.89891143818</v>
      </c>
    </row>
    <row r="44" spans="1:11">
      <c r="A44">
        <v>39</v>
      </c>
      <c r="B44">
        <v>313.14999999999998</v>
      </c>
      <c r="C44">
        <v>4.2948631081208881E-2</v>
      </c>
      <c r="D44">
        <v>4.7710901634296823</v>
      </c>
      <c r="E44" s="6" t="s">
        <v>13</v>
      </c>
      <c r="F44" s="6" t="s">
        <v>13</v>
      </c>
      <c r="G44" s="6"/>
      <c r="I44">
        <f t="shared" si="0"/>
        <v>95.705136891879121</v>
      </c>
      <c r="J44">
        <f t="shared" si="1"/>
        <v>313.14999999999998</v>
      </c>
      <c r="K44">
        <f t="shared" si="2"/>
        <v>477109.01634296821</v>
      </c>
    </row>
    <row r="45" spans="1:11">
      <c r="A45">
        <v>40</v>
      </c>
      <c r="B45">
        <v>314.14999999999998</v>
      </c>
      <c r="C45">
        <v>4.2700849848601896E-2</v>
      </c>
      <c r="D45">
        <v>4.8360976807119131</v>
      </c>
      <c r="E45" s="6" t="s">
        <v>13</v>
      </c>
      <c r="F45" s="6" t="s">
        <v>13</v>
      </c>
      <c r="G45" s="6"/>
      <c r="I45">
        <f t="shared" si="0"/>
        <v>95.729915015139809</v>
      </c>
      <c r="J45">
        <f t="shared" si="1"/>
        <v>314.14999999999998</v>
      </c>
      <c r="K45">
        <f t="shared" si="2"/>
        <v>483609.76807119133</v>
      </c>
    </row>
    <row r="46" spans="1:11">
      <c r="A46">
        <v>41</v>
      </c>
      <c r="B46">
        <v>315.14999999999998</v>
      </c>
      <c r="C46">
        <v>4.24538407471967E-2</v>
      </c>
      <c r="D46">
        <v>4.9012846934251435</v>
      </c>
      <c r="E46" s="6" t="s">
        <v>13</v>
      </c>
      <c r="F46" s="6" t="s">
        <v>13</v>
      </c>
      <c r="G46" s="6"/>
      <c r="I46">
        <f t="shared" si="0"/>
        <v>95.754615925280333</v>
      </c>
      <c r="J46">
        <f t="shared" si="1"/>
        <v>315.14999999999998</v>
      </c>
      <c r="K46">
        <f t="shared" si="2"/>
        <v>490128.46934251435</v>
      </c>
    </row>
    <row r="47" spans="1:11">
      <c r="A47">
        <v>42</v>
      </c>
      <c r="B47">
        <v>316.14999999999998</v>
      </c>
      <c r="C47">
        <v>4.2207628205698851E-2</v>
      </c>
      <c r="D47">
        <v>4.9666443540334457</v>
      </c>
      <c r="E47" s="6" t="s">
        <v>13</v>
      </c>
      <c r="F47" s="6" t="s">
        <v>13</v>
      </c>
      <c r="G47" s="6"/>
      <c r="I47">
        <f t="shared" si="0"/>
        <v>95.779237179430112</v>
      </c>
      <c r="J47">
        <f t="shared" si="1"/>
        <v>316.14999999999998</v>
      </c>
      <c r="K47">
        <f t="shared" si="2"/>
        <v>496664.43540334457</v>
      </c>
    </row>
    <row r="48" spans="1:11">
      <c r="A48">
        <v>43</v>
      </c>
      <c r="B48">
        <v>317.14999999999998</v>
      </c>
      <c r="C48">
        <v>4.1962236652813907E-2</v>
      </c>
      <c r="D48">
        <v>5.0321698150008896</v>
      </c>
      <c r="E48" s="6" t="s">
        <v>13</v>
      </c>
      <c r="F48" s="6" t="s">
        <v>13</v>
      </c>
      <c r="G48" s="6"/>
      <c r="I48">
        <f t="shared" si="0"/>
        <v>95.803776334718606</v>
      </c>
      <c r="J48">
        <f t="shared" si="1"/>
        <v>317.14999999999998</v>
      </c>
      <c r="K48">
        <f t="shared" si="2"/>
        <v>503216.98150008894</v>
      </c>
    </row>
    <row r="49" spans="1:11">
      <c r="A49">
        <v>44</v>
      </c>
      <c r="B49">
        <v>318.14999999999998</v>
      </c>
      <c r="C49">
        <v>4.1717690517247441E-2</v>
      </c>
      <c r="D49">
        <v>5.0978542287915474</v>
      </c>
      <c r="E49" s="6" t="s">
        <v>13</v>
      </c>
      <c r="F49" s="6" t="s">
        <v>13</v>
      </c>
      <c r="G49" s="6"/>
      <c r="I49">
        <f t="shared" si="0"/>
        <v>95.828230948275262</v>
      </c>
      <c r="J49">
        <f t="shared" si="1"/>
        <v>318.14999999999998</v>
      </c>
      <c r="K49">
        <f t="shared" si="2"/>
        <v>509785.42287915474</v>
      </c>
    </row>
    <row r="50" spans="1:11">
      <c r="A50">
        <v>45</v>
      </c>
      <c r="B50">
        <v>319.14999999999998</v>
      </c>
      <c r="C50">
        <v>4.1474014227705004E-2</v>
      </c>
      <c r="D50">
        <v>5.1636907478694898</v>
      </c>
      <c r="E50" s="6" t="s">
        <v>13</v>
      </c>
      <c r="F50" s="6" t="s">
        <v>13</v>
      </c>
      <c r="G50" s="6"/>
      <c r="I50">
        <f t="shared" si="0"/>
        <v>95.8525985772295</v>
      </c>
      <c r="J50">
        <f t="shared" si="1"/>
        <v>319.14999999999998</v>
      </c>
      <c r="K50">
        <f t="shared" si="2"/>
        <v>516369.07478694897</v>
      </c>
    </row>
    <row r="51" spans="1:11">
      <c r="A51">
        <v>46</v>
      </c>
      <c r="B51">
        <v>320.14999999999998</v>
      </c>
      <c r="C51">
        <v>4.1231232212892169E-2</v>
      </c>
      <c r="D51">
        <v>5.2296725246987892</v>
      </c>
      <c r="E51" s="6" t="s">
        <v>13</v>
      </c>
      <c r="F51" s="6" t="s">
        <v>13</v>
      </c>
      <c r="G51" s="6"/>
      <c r="I51">
        <f t="shared" si="0"/>
        <v>95.876876778710781</v>
      </c>
      <c r="J51">
        <f t="shared" si="1"/>
        <v>320.14999999999998</v>
      </c>
      <c r="K51">
        <f t="shared" si="2"/>
        <v>522967.25246987893</v>
      </c>
    </row>
    <row r="52" spans="1:11">
      <c r="A52">
        <v>47</v>
      </c>
      <c r="B52">
        <v>321.14999999999998</v>
      </c>
      <c r="C52">
        <v>4.0989368901514486E-2</v>
      </c>
      <c r="D52">
        <v>5.2957927117435144</v>
      </c>
      <c r="E52" s="6" t="s">
        <v>13</v>
      </c>
      <c r="F52" s="6" t="s">
        <v>13</v>
      </c>
      <c r="G52" s="6"/>
      <c r="I52">
        <f t="shared" si="0"/>
        <v>95.90106310984855</v>
      </c>
      <c r="J52">
        <f t="shared" si="1"/>
        <v>321.14999999999998</v>
      </c>
      <c r="K52">
        <f t="shared" si="2"/>
        <v>529579.27117435145</v>
      </c>
    </row>
    <row r="53" spans="1:11">
      <c r="A53">
        <v>48</v>
      </c>
      <c r="B53">
        <v>322.14999999999998</v>
      </c>
      <c r="C53">
        <v>4.0748448722277529E-2</v>
      </c>
      <c r="D53">
        <v>5.3620444614677387</v>
      </c>
      <c r="E53" s="6" t="s">
        <v>13</v>
      </c>
      <c r="F53" s="6" t="s">
        <v>13</v>
      </c>
      <c r="G53" s="6"/>
      <c r="I53">
        <f t="shared" si="0"/>
        <v>95.925155127772243</v>
      </c>
      <c r="J53">
        <f t="shared" si="1"/>
        <v>322.14999999999998</v>
      </c>
      <c r="K53">
        <f t="shared" si="2"/>
        <v>536204.44614677387</v>
      </c>
    </row>
    <row r="54" spans="1:11">
      <c r="A54">
        <v>49</v>
      </c>
      <c r="B54">
        <v>323.14999999999998</v>
      </c>
      <c r="C54">
        <v>4.0508496103886862E-2</v>
      </c>
      <c r="D54">
        <v>5.4284209263355327</v>
      </c>
      <c r="E54" s="6" t="s">
        <v>13</v>
      </c>
      <c r="F54" s="6" t="s">
        <v>13</v>
      </c>
      <c r="G54" s="6"/>
      <c r="I54">
        <f t="shared" si="0"/>
        <v>95.949150389611319</v>
      </c>
      <c r="J54">
        <f t="shared" si="1"/>
        <v>323.14999999999998</v>
      </c>
      <c r="K54">
        <f t="shared" si="2"/>
        <v>542842.09263355331</v>
      </c>
    </row>
    <row r="55" spans="1:11">
      <c r="A55">
        <v>50</v>
      </c>
      <c r="B55">
        <v>324.14999999999998</v>
      </c>
      <c r="C55">
        <v>4.0269535475048024E-2</v>
      </c>
      <c r="D55">
        <v>5.4949152588109662</v>
      </c>
      <c r="E55" s="6" t="s">
        <v>13</v>
      </c>
      <c r="F55" s="6" t="s">
        <v>13</v>
      </c>
      <c r="G55" s="6"/>
      <c r="I55">
        <f t="shared" si="0"/>
        <v>95.973046452495197</v>
      </c>
      <c r="J55">
        <f t="shared" si="1"/>
        <v>324.14999999999998</v>
      </c>
      <c r="K55">
        <f t="shared" si="2"/>
        <v>549491.5258810966</v>
      </c>
    </row>
    <row r="56" spans="1:11">
      <c r="A56">
        <v>51</v>
      </c>
      <c r="B56">
        <v>325.14999999999998</v>
      </c>
      <c r="C56">
        <v>4.00315912644666E-2</v>
      </c>
      <c r="D56">
        <v>5.5615206113581124</v>
      </c>
      <c r="E56" s="6" t="s">
        <v>13</v>
      </c>
      <c r="F56" s="6" t="s">
        <v>13</v>
      </c>
      <c r="G56" s="6"/>
      <c r="I56">
        <f t="shared" si="0"/>
        <v>95.996840873553339</v>
      </c>
      <c r="J56">
        <f t="shared" si="1"/>
        <v>325.14999999999998</v>
      </c>
      <c r="K56">
        <f t="shared" si="2"/>
        <v>556152.06113581127</v>
      </c>
    </row>
    <row r="57" spans="1:11">
      <c r="A57">
        <v>52</v>
      </c>
      <c r="B57">
        <v>326.14999999999998</v>
      </c>
      <c r="C57">
        <v>3.9794687900848141E-2</v>
      </c>
      <c r="D57">
        <v>5.6282301364410401</v>
      </c>
      <c r="E57" s="6" t="s">
        <v>13</v>
      </c>
      <c r="F57" s="6" t="s">
        <v>13</v>
      </c>
      <c r="G57" s="6"/>
      <c r="I57">
        <f t="shared" si="0"/>
        <v>96.020531209915177</v>
      </c>
      <c r="J57">
        <f t="shared" si="1"/>
        <v>326.14999999999998</v>
      </c>
      <c r="K57">
        <f t="shared" si="2"/>
        <v>562823.01364410401</v>
      </c>
    </row>
    <row r="58" spans="1:11">
      <c r="A58">
        <v>53</v>
      </c>
      <c r="B58">
        <v>327.14999999999998</v>
      </c>
      <c r="C58">
        <v>3.9558849812898214E-2</v>
      </c>
      <c r="D58">
        <v>5.6950369865238226</v>
      </c>
      <c r="E58" s="6" t="s">
        <v>13</v>
      </c>
      <c r="F58" s="6" t="s">
        <v>13</v>
      </c>
      <c r="G58" s="6"/>
      <c r="I58">
        <f t="shared" si="0"/>
        <v>96.044115018710173</v>
      </c>
      <c r="J58">
        <f t="shared" si="1"/>
        <v>327.14999999999998</v>
      </c>
      <c r="K58">
        <f t="shared" si="2"/>
        <v>569503.69865238224</v>
      </c>
    </row>
    <row r="59" spans="1:11">
      <c r="A59">
        <v>54</v>
      </c>
      <c r="B59">
        <v>328.15</v>
      </c>
      <c r="C59">
        <v>3.932410142932239E-2</v>
      </c>
      <c r="D59">
        <v>5.7619343140705306</v>
      </c>
      <c r="E59" s="6" t="s">
        <v>13</v>
      </c>
      <c r="F59" s="6" t="s">
        <v>13</v>
      </c>
      <c r="G59" s="6"/>
      <c r="I59">
        <f t="shared" si="0"/>
        <v>96.067589857067759</v>
      </c>
      <c r="J59">
        <f t="shared" si="1"/>
        <v>328.15</v>
      </c>
      <c r="K59">
        <f t="shared" si="2"/>
        <v>576193.43140705302</v>
      </c>
    </row>
    <row r="60" spans="1:11">
      <c r="A60">
        <v>55</v>
      </c>
      <c r="B60">
        <v>329.15</v>
      </c>
      <c r="C60">
        <v>3.9090467178826215E-2</v>
      </c>
      <c r="D60">
        <v>5.8289152715452337</v>
      </c>
      <c r="E60" s="6" t="s">
        <v>13</v>
      </c>
      <c r="F60" s="6" t="s">
        <v>13</v>
      </c>
      <c r="G60" s="6"/>
      <c r="I60">
        <f t="shared" si="0"/>
        <v>96.090953282117368</v>
      </c>
      <c r="J60">
        <f t="shared" si="1"/>
        <v>329.15</v>
      </c>
      <c r="K60">
        <f t="shared" si="2"/>
        <v>582891.52715452341</v>
      </c>
    </row>
    <row r="61" spans="1:11">
      <c r="A61">
        <v>56</v>
      </c>
      <c r="B61">
        <v>330.15</v>
      </c>
      <c r="C61">
        <v>3.8857971490115259E-2</v>
      </c>
      <c r="D61">
        <v>5.8959730114120044</v>
      </c>
      <c r="E61" s="6" t="s">
        <v>13</v>
      </c>
      <c r="F61" s="6" t="s">
        <v>13</v>
      </c>
      <c r="G61" s="6"/>
      <c r="I61">
        <f t="shared" si="0"/>
        <v>96.114202850988477</v>
      </c>
      <c r="J61">
        <f t="shared" si="1"/>
        <v>330.15</v>
      </c>
      <c r="K61">
        <f t="shared" si="2"/>
        <v>589597.30114120047</v>
      </c>
    </row>
    <row r="62" spans="1:11">
      <c r="A62">
        <v>57</v>
      </c>
      <c r="B62">
        <v>331.15</v>
      </c>
      <c r="C62">
        <v>3.8626638791895089E-2</v>
      </c>
      <c r="D62">
        <v>5.9631006861349132</v>
      </c>
      <c r="E62" s="6" t="s">
        <v>13</v>
      </c>
      <c r="F62" s="6" t="s">
        <v>13</v>
      </c>
      <c r="G62" s="6"/>
      <c r="I62">
        <f t="shared" si="0"/>
        <v>96.137336120810488</v>
      </c>
      <c r="J62">
        <f t="shared" si="1"/>
        <v>331.15</v>
      </c>
      <c r="K62">
        <f t="shared" si="2"/>
        <v>596310.06861349137</v>
      </c>
    </row>
    <row r="63" spans="1:11">
      <c r="A63">
        <v>58</v>
      </c>
      <c r="B63">
        <v>332.15</v>
      </c>
      <c r="C63">
        <v>3.8396493512871249E-2</v>
      </c>
      <c r="D63">
        <v>6.0302914481780308</v>
      </c>
      <c r="E63" s="6" t="s">
        <v>13</v>
      </c>
      <c r="F63" s="6" t="s">
        <v>13</v>
      </c>
      <c r="G63" s="6"/>
      <c r="I63">
        <f t="shared" si="0"/>
        <v>96.160350648712878</v>
      </c>
      <c r="J63">
        <f t="shared" si="1"/>
        <v>332.15</v>
      </c>
      <c r="K63">
        <f t="shared" si="2"/>
        <v>603029.14481780306</v>
      </c>
    </row>
    <row r="64" spans="1:11">
      <c r="A64">
        <v>59</v>
      </c>
      <c r="B64">
        <v>333.15</v>
      </c>
      <c r="C64">
        <v>3.8167560081749319E-2</v>
      </c>
      <c r="D64">
        <v>6.0975384500054322</v>
      </c>
      <c r="E64" s="6" t="s">
        <v>13</v>
      </c>
      <c r="F64" s="6" t="s">
        <v>13</v>
      </c>
      <c r="G64" s="6"/>
      <c r="I64">
        <f t="shared" si="0"/>
        <v>96.18324399182508</v>
      </c>
      <c r="J64">
        <f t="shared" si="1"/>
        <v>333.15</v>
      </c>
      <c r="K64">
        <f t="shared" si="2"/>
        <v>609753.84500054317</v>
      </c>
    </row>
    <row r="65" spans="1:11">
      <c r="A65">
        <v>60</v>
      </c>
      <c r="B65">
        <v>334.15</v>
      </c>
      <c r="C65">
        <v>3.7939862927234849E-2</v>
      </c>
      <c r="D65">
        <v>6.1648348440811818</v>
      </c>
      <c r="E65" s="6" t="s">
        <v>13</v>
      </c>
      <c r="F65" s="6" t="s">
        <v>13</v>
      </c>
      <c r="G65" s="6"/>
      <c r="I65">
        <f t="shared" si="0"/>
        <v>96.206013707276512</v>
      </c>
      <c r="J65">
        <f t="shared" si="1"/>
        <v>334.15</v>
      </c>
      <c r="K65">
        <f t="shared" si="2"/>
        <v>616483.48440811818</v>
      </c>
    </row>
    <row r="66" spans="1:11">
      <c r="A66">
        <v>61</v>
      </c>
      <c r="B66">
        <v>335.15</v>
      </c>
      <c r="C66">
        <v>3.771342647803342E-2</v>
      </c>
      <c r="D66">
        <v>6.2321737828693573</v>
      </c>
      <c r="E66" s="6" t="s">
        <v>13</v>
      </c>
      <c r="F66" s="6" t="s">
        <v>13</v>
      </c>
      <c r="G66" s="6"/>
      <c r="I66">
        <f t="shared" si="0"/>
        <v>96.228657352196649</v>
      </c>
      <c r="J66">
        <f t="shared" si="1"/>
        <v>335.15</v>
      </c>
      <c r="K66">
        <f t="shared" si="2"/>
        <v>623217.37828693574</v>
      </c>
    </row>
    <row r="67" spans="1:11">
      <c r="A67">
        <v>62</v>
      </c>
      <c r="B67">
        <v>336.15</v>
      </c>
      <c r="C67">
        <v>3.7488275162850582E-2</v>
      </c>
      <c r="D67">
        <v>6.2995484188340249</v>
      </c>
      <c r="E67" s="6" t="s">
        <v>13</v>
      </c>
      <c r="F67" s="6" t="s">
        <v>13</v>
      </c>
      <c r="G67" s="6"/>
      <c r="I67">
        <f t="shared" si="0"/>
        <v>96.251172483714939</v>
      </c>
      <c r="J67">
        <f t="shared" si="1"/>
        <v>336.15</v>
      </c>
      <c r="K67">
        <f t="shared" si="2"/>
        <v>629954.84188340255</v>
      </c>
    </row>
    <row r="68" spans="1:11">
      <c r="A68">
        <v>63</v>
      </c>
      <c r="B68">
        <v>337.15</v>
      </c>
      <c r="C68">
        <v>3.726443341039188E-2</v>
      </c>
      <c r="D68">
        <v>6.3669519044392597</v>
      </c>
      <c r="E68" s="6" t="s">
        <v>13</v>
      </c>
      <c r="F68" s="6" t="s">
        <v>13</v>
      </c>
      <c r="G68" s="6"/>
      <c r="I68">
        <f t="shared" si="0"/>
        <v>96.273556658960814</v>
      </c>
      <c r="J68">
        <f t="shared" si="1"/>
        <v>337.15</v>
      </c>
      <c r="K68">
        <f t="shared" si="2"/>
        <v>636695.19044392603</v>
      </c>
    </row>
    <row r="69" spans="1:11">
      <c r="A69">
        <v>64</v>
      </c>
      <c r="B69">
        <v>338.15</v>
      </c>
      <c r="C69">
        <v>3.7041925649362907E-2</v>
      </c>
      <c r="D69">
        <v>6.4343773921491296</v>
      </c>
      <c r="E69" s="6" t="s">
        <v>13</v>
      </c>
      <c r="F69" s="6" t="s">
        <v>13</v>
      </c>
      <c r="G69" s="6"/>
      <c r="I69">
        <f t="shared" si="0"/>
        <v>96.295807435063708</v>
      </c>
      <c r="J69">
        <f t="shared" si="1"/>
        <v>338.15</v>
      </c>
      <c r="K69">
        <f t="shared" si="2"/>
        <v>643437.73921491299</v>
      </c>
    </row>
    <row r="70" spans="1:11">
      <c r="A70">
        <v>65</v>
      </c>
      <c r="B70">
        <v>339.15</v>
      </c>
      <c r="C70">
        <v>3.6820776308469208E-2</v>
      </c>
      <c r="D70">
        <v>6.5018180344277079</v>
      </c>
      <c r="E70" s="6" t="s">
        <v>13</v>
      </c>
      <c r="F70" s="6" t="s">
        <v>13</v>
      </c>
      <c r="G70" s="6"/>
      <c r="I70">
        <f t="shared" si="0"/>
        <v>96.317922369153081</v>
      </c>
      <c r="J70">
        <f t="shared" si="1"/>
        <v>339.15</v>
      </c>
      <c r="K70">
        <f t="shared" si="2"/>
        <v>650181.80344277073</v>
      </c>
    </row>
    <row r="71" spans="1:11">
      <c r="A71">
        <v>66</v>
      </c>
      <c r="B71">
        <v>340.15</v>
      </c>
      <c r="C71">
        <v>3.6601009816416348E-2</v>
      </c>
      <c r="D71">
        <v>6.5692669837390634</v>
      </c>
      <c r="E71" s="6" t="s">
        <v>13</v>
      </c>
      <c r="F71" s="6" t="s">
        <v>13</v>
      </c>
      <c r="G71" s="6"/>
      <c r="I71">
        <f t="shared" ref="I71:I134" si="7">(1-C71)*100</f>
        <v>96.339899018358366</v>
      </c>
      <c r="J71">
        <f t="shared" ref="J71:J134" si="8">B71</f>
        <v>340.15</v>
      </c>
      <c r="K71">
        <f t="shared" ref="K71:K134" si="9">D71*100000</f>
        <v>656926.69837390631</v>
      </c>
    </row>
    <row r="72" spans="1:11">
      <c r="A72">
        <v>67</v>
      </c>
      <c r="B72">
        <v>341.15</v>
      </c>
      <c r="C72">
        <v>3.6382650601909886E-2</v>
      </c>
      <c r="D72">
        <v>6.6367173925472702</v>
      </c>
      <c r="E72" s="6" t="s">
        <v>13</v>
      </c>
      <c r="F72" s="6" t="s">
        <v>13</v>
      </c>
      <c r="G72" s="6"/>
      <c r="I72">
        <f t="shared" si="7"/>
        <v>96.361734939809011</v>
      </c>
      <c r="J72">
        <f t="shared" si="8"/>
        <v>341.15</v>
      </c>
      <c r="K72">
        <f t="shared" si="9"/>
        <v>663671.73925472703</v>
      </c>
    </row>
    <row r="73" spans="1:11">
      <c r="A73">
        <v>68</v>
      </c>
      <c r="B73">
        <v>342.15</v>
      </c>
      <c r="C73">
        <v>3.6165723093655393E-2</v>
      </c>
      <c r="D73">
        <v>6.7041624133163964</v>
      </c>
      <c r="E73" s="6" t="s">
        <v>13</v>
      </c>
      <c r="F73" s="6" t="s">
        <v>13</v>
      </c>
      <c r="G73" s="6"/>
      <c r="I73">
        <f t="shared" si="7"/>
        <v>96.383427690634463</v>
      </c>
      <c r="J73">
        <f t="shared" si="8"/>
        <v>342.15</v>
      </c>
      <c r="K73">
        <f t="shared" si="9"/>
        <v>670416.24133163958</v>
      </c>
    </row>
    <row r="74" spans="1:11">
      <c r="A74">
        <v>69</v>
      </c>
      <c r="B74">
        <v>343.15</v>
      </c>
      <c r="C74">
        <v>3.5950251720358421E-2</v>
      </c>
      <c r="D74">
        <v>6.7715951985105161</v>
      </c>
      <c r="E74" s="6" t="s">
        <v>13</v>
      </c>
      <c r="F74" s="6" t="s">
        <v>13</v>
      </c>
      <c r="G74" s="6"/>
      <c r="I74">
        <f t="shared" si="7"/>
        <v>96.404974827964168</v>
      </c>
      <c r="J74">
        <f t="shared" si="8"/>
        <v>343.15</v>
      </c>
      <c r="K74">
        <f t="shared" si="9"/>
        <v>677159.51985105162</v>
      </c>
    </row>
    <row r="75" spans="1:11">
      <c r="A75">
        <v>70</v>
      </c>
      <c r="B75">
        <v>344.15</v>
      </c>
      <c r="C75">
        <v>3.573626091072455E-2</v>
      </c>
      <c r="D75">
        <v>6.839008900593698</v>
      </c>
      <c r="E75" s="6" t="s">
        <v>13</v>
      </c>
      <c r="F75" s="6" t="s">
        <v>13</v>
      </c>
      <c r="G75" s="6"/>
      <c r="I75">
        <f t="shared" si="7"/>
        <v>96.426373908927545</v>
      </c>
      <c r="J75">
        <f t="shared" si="8"/>
        <v>344.15</v>
      </c>
      <c r="K75">
        <f t="shared" si="9"/>
        <v>683900.89005936985</v>
      </c>
    </row>
    <row r="76" spans="1:11">
      <c r="A76">
        <v>71</v>
      </c>
      <c r="B76">
        <v>345.15</v>
      </c>
      <c r="C76">
        <v>3.5523775093459317E-2</v>
      </c>
      <c r="D76">
        <v>6.9063966720300147</v>
      </c>
      <c r="E76" s="6" t="s">
        <v>13</v>
      </c>
      <c r="F76" s="6" t="s">
        <v>13</v>
      </c>
      <c r="G76" s="6"/>
      <c r="I76">
        <f t="shared" si="7"/>
        <v>96.447622490654069</v>
      </c>
      <c r="J76">
        <f t="shared" si="8"/>
        <v>345.15</v>
      </c>
      <c r="K76">
        <f t="shared" si="9"/>
        <v>690639.66720300145</v>
      </c>
    </row>
    <row r="77" spans="1:11">
      <c r="A77">
        <v>72</v>
      </c>
      <c r="B77">
        <v>346.15</v>
      </c>
      <c r="C77">
        <v>3.5312818697268294E-2</v>
      </c>
      <c r="D77">
        <v>6.9737516652835376</v>
      </c>
      <c r="E77" s="6" t="s">
        <v>13</v>
      </c>
      <c r="F77" s="6" t="s">
        <v>13</v>
      </c>
      <c r="G77" s="6"/>
      <c r="I77">
        <f t="shared" si="7"/>
        <v>96.468718130273174</v>
      </c>
      <c r="J77">
        <f t="shared" si="8"/>
        <v>346.15</v>
      </c>
      <c r="K77">
        <f t="shared" si="9"/>
        <v>697375.16652835382</v>
      </c>
    </row>
    <row r="78" spans="1:11">
      <c r="A78">
        <v>73</v>
      </c>
      <c r="B78">
        <v>347.15</v>
      </c>
      <c r="C78">
        <v>3.5103416150857054E-2</v>
      </c>
      <c r="D78">
        <v>7.0410670328183365</v>
      </c>
      <c r="E78" s="6" t="s">
        <v>13</v>
      </c>
      <c r="F78" s="6" t="s">
        <v>13</v>
      </c>
      <c r="G78" s="6"/>
      <c r="I78">
        <f t="shared" si="7"/>
        <v>96.489658384914293</v>
      </c>
      <c r="J78">
        <f t="shared" si="8"/>
        <v>347.15</v>
      </c>
      <c r="K78">
        <f t="shared" si="9"/>
        <v>704106.70328183367</v>
      </c>
    </row>
    <row r="79" spans="1:11">
      <c r="A79">
        <v>74</v>
      </c>
      <c r="B79">
        <v>348.15</v>
      </c>
      <c r="C79">
        <v>3.4895591882931142E-2</v>
      </c>
      <c r="D79">
        <v>7.1083359270984836</v>
      </c>
      <c r="E79" s="6" t="s">
        <v>13</v>
      </c>
      <c r="F79" s="6" t="s">
        <v>13</v>
      </c>
      <c r="G79" s="6"/>
      <c r="I79">
        <f t="shared" si="7"/>
        <v>96.510440811706886</v>
      </c>
      <c r="J79">
        <f t="shared" si="8"/>
        <v>348.15</v>
      </c>
      <c r="K79">
        <f t="shared" si="9"/>
        <v>710833.59270984831</v>
      </c>
    </row>
    <row r="80" spans="1:11">
      <c r="A80">
        <v>75</v>
      </c>
      <c r="B80">
        <v>349.15</v>
      </c>
      <c r="C80">
        <v>3.4689370322196135E-2</v>
      </c>
      <c r="D80">
        <v>7.1755515005880497</v>
      </c>
      <c r="E80" s="6" t="s">
        <v>13</v>
      </c>
      <c r="F80" s="6" t="s">
        <v>13</v>
      </c>
      <c r="G80" s="6"/>
      <c r="I80">
        <f t="shared" si="7"/>
        <v>96.531062967780386</v>
      </c>
      <c r="J80">
        <f t="shared" si="8"/>
        <v>349.15</v>
      </c>
      <c r="K80">
        <f t="shared" si="9"/>
        <v>717555.15005880501</v>
      </c>
    </row>
    <row r="81" spans="1:11">
      <c r="A81">
        <v>76</v>
      </c>
      <c r="B81">
        <v>350.15</v>
      </c>
      <c r="C81">
        <v>3.4484775897357579E-2</v>
      </c>
      <c r="D81">
        <v>7.2427069057511044</v>
      </c>
      <c r="E81" s="6" t="s">
        <v>13</v>
      </c>
      <c r="F81" s="6" t="s">
        <v>13</v>
      </c>
      <c r="G81" s="6"/>
      <c r="I81">
        <f t="shared" si="7"/>
        <v>96.551522410264241</v>
      </c>
      <c r="J81">
        <f t="shared" si="8"/>
        <v>350.15</v>
      </c>
      <c r="K81">
        <f t="shared" si="9"/>
        <v>724270.69057511049</v>
      </c>
    </row>
    <row r="82" spans="1:11">
      <c r="A82">
        <v>77</v>
      </c>
      <c r="B82">
        <v>351.15</v>
      </c>
      <c r="C82">
        <v>3.4281833037121054E-2</v>
      </c>
      <c r="D82">
        <v>7.309795295051722</v>
      </c>
      <c r="E82" s="6" t="s">
        <v>13</v>
      </c>
      <c r="F82" s="6" t="s">
        <v>13</v>
      </c>
      <c r="G82" s="6"/>
      <c r="I82">
        <f t="shared" si="7"/>
        <v>96.571816696287897</v>
      </c>
      <c r="J82">
        <f t="shared" si="8"/>
        <v>351.15</v>
      </c>
      <c r="K82">
        <f t="shared" si="9"/>
        <v>730979.52950517216</v>
      </c>
    </row>
    <row r="83" spans="1:11">
      <c r="A83">
        <v>78</v>
      </c>
      <c r="B83">
        <v>352.15</v>
      </c>
      <c r="C83">
        <v>3.4080566170192124E-2</v>
      </c>
      <c r="D83">
        <v>7.3768098209539712</v>
      </c>
      <c r="E83" s="6" t="s">
        <v>13</v>
      </c>
      <c r="F83" s="6" t="s">
        <v>13</v>
      </c>
      <c r="G83" s="6"/>
      <c r="I83">
        <f t="shared" si="7"/>
        <v>96.591943382980787</v>
      </c>
      <c r="J83">
        <f t="shared" si="8"/>
        <v>352.15</v>
      </c>
      <c r="K83">
        <f t="shared" si="9"/>
        <v>737680.98209539708</v>
      </c>
    </row>
    <row r="84" spans="1:11">
      <c r="A84">
        <v>79</v>
      </c>
      <c r="B84">
        <v>353.15</v>
      </c>
      <c r="C84">
        <v>3.3880999725276327E-2</v>
      </c>
      <c r="D84">
        <v>7.4437436359219236</v>
      </c>
      <c r="E84" s="6" t="s">
        <v>13</v>
      </c>
      <c r="F84" s="6" t="s">
        <v>13</v>
      </c>
      <c r="G84" s="6"/>
      <c r="I84">
        <f t="shared" si="7"/>
        <v>96.611900027472359</v>
      </c>
      <c r="J84">
        <f t="shared" si="8"/>
        <v>353.15</v>
      </c>
      <c r="K84">
        <f t="shared" si="9"/>
        <v>744374.36359219241</v>
      </c>
    </row>
    <row r="85" spans="1:11">
      <c r="A85">
        <v>80</v>
      </c>
      <c r="B85">
        <v>354.15</v>
      </c>
      <c r="C85">
        <v>3.3683158131079242E-2</v>
      </c>
      <c r="D85">
        <v>7.5105898924196515</v>
      </c>
      <c r="E85" s="6" t="s">
        <v>13</v>
      </c>
      <c r="F85" s="6" t="s">
        <v>13</v>
      </c>
      <c r="G85" s="6"/>
      <c r="I85">
        <f t="shared" si="7"/>
        <v>96.631684186892073</v>
      </c>
      <c r="J85">
        <f t="shared" si="8"/>
        <v>354.15</v>
      </c>
      <c r="K85">
        <f t="shared" si="9"/>
        <v>751058.98924196512</v>
      </c>
    </row>
    <row r="86" spans="1:11">
      <c r="A86">
        <v>81</v>
      </c>
      <c r="B86">
        <v>355.15</v>
      </c>
      <c r="C86">
        <v>3.3487065816306436E-2</v>
      </c>
      <c r="D86">
        <v>7.5773417429112238</v>
      </c>
      <c r="E86" s="6" t="s">
        <v>13</v>
      </c>
      <c r="F86" s="6" t="s">
        <v>13</v>
      </c>
      <c r="G86" s="6"/>
      <c r="I86">
        <f t="shared" si="7"/>
        <v>96.651293418369349</v>
      </c>
      <c r="J86">
        <f t="shared" si="8"/>
        <v>355.15</v>
      </c>
      <c r="K86">
        <f t="shared" si="9"/>
        <v>757734.17429112236</v>
      </c>
    </row>
    <row r="87" spans="1:11">
      <c r="A87">
        <v>82</v>
      </c>
      <c r="B87">
        <v>356.15</v>
      </c>
      <c r="C87">
        <v>3.3292747209663458E-2</v>
      </c>
      <c r="D87">
        <v>7.6439923398607128</v>
      </c>
      <c r="E87" s="6" t="s">
        <v>13</v>
      </c>
      <c r="F87" s="6" t="s">
        <v>13</v>
      </c>
      <c r="G87" s="6"/>
      <c r="I87">
        <f t="shared" si="7"/>
        <v>96.670725279033647</v>
      </c>
      <c r="J87">
        <f t="shared" si="8"/>
        <v>356.15</v>
      </c>
      <c r="K87">
        <f t="shared" si="9"/>
        <v>764399.23398607131</v>
      </c>
    </row>
    <row r="88" spans="1:11">
      <c r="A88">
        <v>83</v>
      </c>
      <c r="B88">
        <v>357.15</v>
      </c>
      <c r="C88">
        <v>3.3100226739855874E-2</v>
      </c>
      <c r="D88">
        <v>7.7105348357321919</v>
      </c>
      <c r="E88" s="6" t="s">
        <v>13</v>
      </c>
      <c r="F88" s="6" t="s">
        <v>13</v>
      </c>
      <c r="G88" s="6"/>
      <c r="I88">
        <f t="shared" si="7"/>
        <v>96.689977326014414</v>
      </c>
      <c r="J88">
        <f t="shared" si="8"/>
        <v>357.15</v>
      </c>
      <c r="K88">
        <f t="shared" si="9"/>
        <v>771053.48357321916</v>
      </c>
    </row>
    <row r="89" spans="1:11">
      <c r="A89">
        <v>84</v>
      </c>
      <c r="B89">
        <v>358.15</v>
      </c>
      <c r="C89">
        <v>3.2909528835589251E-2</v>
      </c>
      <c r="D89">
        <v>7.7769623829897281</v>
      </c>
      <c r="E89" s="6" t="s">
        <v>13</v>
      </c>
      <c r="F89" s="6" t="s">
        <v>13</v>
      </c>
      <c r="G89" s="6"/>
      <c r="I89">
        <f t="shared" si="7"/>
        <v>96.70904711644107</v>
      </c>
      <c r="J89">
        <f t="shared" si="8"/>
        <v>358.15</v>
      </c>
      <c r="K89">
        <f t="shared" si="9"/>
        <v>777696.23829897284</v>
      </c>
    </row>
    <row r="90" spans="1:11">
      <c r="A90">
        <v>85</v>
      </c>
      <c r="B90">
        <v>359.15</v>
      </c>
      <c r="C90">
        <v>3.2720677925569146E-2</v>
      </c>
      <c r="D90">
        <v>7.8432681340973973</v>
      </c>
      <c r="E90" s="6" t="s">
        <v>13</v>
      </c>
      <c r="F90" s="6" t="s">
        <v>13</v>
      </c>
      <c r="G90" s="6"/>
      <c r="I90">
        <f t="shared" si="7"/>
        <v>96.727932207443089</v>
      </c>
      <c r="J90">
        <f t="shared" si="8"/>
        <v>359.15</v>
      </c>
      <c r="K90">
        <f t="shared" si="9"/>
        <v>784326.81340973976</v>
      </c>
    </row>
    <row r="91" spans="1:11">
      <c r="A91">
        <v>86</v>
      </c>
      <c r="B91">
        <v>360.15</v>
      </c>
      <c r="C91">
        <v>3.2533698438501124E-2</v>
      </c>
      <c r="D91">
        <v>7.9094452415192649</v>
      </c>
      <c r="E91" s="6" t="s">
        <v>13</v>
      </c>
      <c r="F91" s="6" t="s">
        <v>13</v>
      </c>
      <c r="G91" s="6"/>
      <c r="I91">
        <f t="shared" si="7"/>
        <v>96.746630156149877</v>
      </c>
      <c r="J91">
        <f t="shared" si="8"/>
        <v>360.15</v>
      </c>
      <c r="K91">
        <f t="shared" si="9"/>
        <v>790944.52415192651</v>
      </c>
    </row>
    <row r="92" spans="1:11">
      <c r="A92">
        <v>87</v>
      </c>
      <c r="B92">
        <v>361.15</v>
      </c>
      <c r="C92">
        <v>3.2348614803090744E-2</v>
      </c>
      <c r="D92">
        <v>7.9754868577194058</v>
      </c>
      <c r="E92" s="6" t="s">
        <v>13</v>
      </c>
      <c r="F92" s="6" t="s">
        <v>13</v>
      </c>
      <c r="G92" s="6"/>
      <c r="I92">
        <f t="shared" si="7"/>
        <v>96.765138519690936</v>
      </c>
      <c r="J92">
        <f t="shared" si="8"/>
        <v>361.15</v>
      </c>
      <c r="K92">
        <f t="shared" si="9"/>
        <v>797548.68577194063</v>
      </c>
    </row>
    <row r="93" spans="1:11">
      <c r="A93">
        <v>88</v>
      </c>
      <c r="B93">
        <v>362.15</v>
      </c>
      <c r="C93">
        <v>3.2165451448043579E-2</v>
      </c>
      <c r="D93">
        <v>8.0413861351618898</v>
      </c>
      <c r="E93" s="6" t="s">
        <v>13</v>
      </c>
      <c r="F93" s="6" t="s">
        <v>13</v>
      </c>
      <c r="G93" s="6"/>
      <c r="I93">
        <f t="shared" si="7"/>
        <v>96.783454855195643</v>
      </c>
      <c r="J93">
        <f t="shared" si="8"/>
        <v>362.15</v>
      </c>
      <c r="K93">
        <f t="shared" si="9"/>
        <v>804138.61351618893</v>
      </c>
    </row>
    <row r="94" spans="1:11">
      <c r="A94">
        <v>89</v>
      </c>
      <c r="B94">
        <v>363.15</v>
      </c>
      <c r="C94">
        <v>3.1984232802065179E-2</v>
      </c>
      <c r="D94">
        <v>8.1071362263107911</v>
      </c>
      <c r="E94" s="6" t="s">
        <v>13</v>
      </c>
      <c r="F94" s="6" t="s">
        <v>13</v>
      </c>
      <c r="G94" s="6"/>
      <c r="I94">
        <f t="shared" si="7"/>
        <v>96.801576719793474</v>
      </c>
      <c r="J94">
        <f t="shared" si="8"/>
        <v>363.15</v>
      </c>
      <c r="K94">
        <f t="shared" si="9"/>
        <v>810713.62263107917</v>
      </c>
    </row>
    <row r="95" spans="1:11">
      <c r="A95">
        <v>90</v>
      </c>
      <c r="B95">
        <v>364.15</v>
      </c>
      <c r="C95">
        <v>3.1804983293861111E-2</v>
      </c>
      <c r="D95">
        <v>8.172730283630175</v>
      </c>
      <c r="E95" s="6" t="s">
        <v>13</v>
      </c>
      <c r="F95" s="6" t="s">
        <v>13</v>
      </c>
      <c r="G95" s="6"/>
      <c r="I95">
        <f t="shared" si="7"/>
        <v>96.819501670613889</v>
      </c>
      <c r="J95">
        <f t="shared" si="8"/>
        <v>364.15</v>
      </c>
      <c r="K95">
        <f t="shared" si="9"/>
        <v>817273.02836301748</v>
      </c>
    </row>
    <row r="96" spans="1:11">
      <c r="A96">
        <v>91</v>
      </c>
      <c r="B96">
        <v>365.15</v>
      </c>
      <c r="C96">
        <v>3.1627727352136925E-2</v>
      </c>
      <c r="D96">
        <v>8.2381614595841199</v>
      </c>
      <c r="E96" s="6" t="s">
        <v>13</v>
      </c>
      <c r="F96" s="6" t="s">
        <v>13</v>
      </c>
      <c r="G96" s="6"/>
      <c r="I96">
        <f t="shared" si="7"/>
        <v>96.837227264786307</v>
      </c>
      <c r="J96">
        <f t="shared" si="8"/>
        <v>365.15</v>
      </c>
      <c r="K96">
        <f t="shared" si="9"/>
        <v>823816.14595841197</v>
      </c>
    </row>
    <row r="97" spans="1:11">
      <c r="A97">
        <v>92</v>
      </c>
      <c r="B97">
        <v>366.15</v>
      </c>
      <c r="C97">
        <v>3.1452489405598208E-2</v>
      </c>
      <c r="D97">
        <v>8.3034229066366905</v>
      </c>
      <c r="E97" s="6" t="s">
        <v>13</v>
      </c>
      <c r="F97" s="6" t="s">
        <v>13</v>
      </c>
      <c r="G97" s="6"/>
      <c r="I97">
        <f t="shared" si="7"/>
        <v>96.854751059440176</v>
      </c>
      <c r="J97">
        <f t="shared" si="8"/>
        <v>366.15</v>
      </c>
      <c r="K97">
        <f t="shared" si="9"/>
        <v>830342.290663669</v>
      </c>
    </row>
    <row r="98" spans="1:11">
      <c r="A98">
        <v>93</v>
      </c>
      <c r="B98">
        <v>367.15</v>
      </c>
      <c r="C98">
        <v>3.1279293882950504E-2</v>
      </c>
      <c r="D98">
        <v>8.3685077772519598</v>
      </c>
      <c r="E98" s="6" t="s">
        <v>13</v>
      </c>
      <c r="F98" s="6" t="s">
        <v>13</v>
      </c>
      <c r="G98" s="6"/>
      <c r="I98">
        <f t="shared" si="7"/>
        <v>96.872070611704956</v>
      </c>
      <c r="J98">
        <f t="shared" si="8"/>
        <v>367.15</v>
      </c>
      <c r="K98">
        <f t="shared" si="9"/>
        <v>836850.77772519598</v>
      </c>
    </row>
    <row r="99" spans="1:11">
      <c r="A99">
        <v>94</v>
      </c>
      <c r="B99">
        <v>368.15</v>
      </c>
      <c r="C99">
        <v>3.1108165212899379E-2</v>
      </c>
      <c r="D99">
        <v>8.4334092238940013</v>
      </c>
      <c r="E99" s="6" t="s">
        <v>13</v>
      </c>
      <c r="F99" s="6" t="s">
        <v>13</v>
      </c>
      <c r="G99" s="6"/>
      <c r="I99">
        <f t="shared" si="7"/>
        <v>96.889183478710066</v>
      </c>
      <c r="J99">
        <f t="shared" si="8"/>
        <v>368.15</v>
      </c>
      <c r="K99">
        <f t="shared" si="9"/>
        <v>843340.92238940008</v>
      </c>
    </row>
    <row r="100" spans="1:11">
      <c r="A100">
        <v>95</v>
      </c>
      <c r="B100">
        <v>369.15</v>
      </c>
      <c r="C100">
        <v>3.0939127824150391E-2</v>
      </c>
      <c r="D100">
        <v>8.4981203990268828</v>
      </c>
      <c r="E100" s="6" t="s">
        <v>13</v>
      </c>
      <c r="F100" s="6" t="s">
        <v>13</v>
      </c>
      <c r="G100" s="6"/>
      <c r="I100">
        <f t="shared" si="7"/>
        <v>96.906087217584954</v>
      </c>
      <c r="J100">
        <f t="shared" si="8"/>
        <v>369.15</v>
      </c>
      <c r="K100">
        <f t="shared" si="9"/>
        <v>849812.03990268824</v>
      </c>
    </row>
    <row r="101" spans="1:11">
      <c r="A101">
        <v>96</v>
      </c>
      <c r="B101">
        <v>370.15</v>
      </c>
      <c r="C101">
        <v>3.0772206145409112E-2</v>
      </c>
      <c r="D101">
        <v>8.5626344551146794</v>
      </c>
      <c r="E101" s="6" t="s">
        <v>13</v>
      </c>
      <c r="F101" s="6" t="s">
        <v>13</v>
      </c>
      <c r="G101" s="6"/>
      <c r="I101">
        <f t="shared" si="7"/>
        <v>96.922779385459094</v>
      </c>
      <c r="J101">
        <f t="shared" si="8"/>
        <v>370.15</v>
      </c>
      <c r="K101">
        <f t="shared" si="9"/>
        <v>856263.44551146799</v>
      </c>
    </row>
    <row r="102" spans="1:11">
      <c r="A102">
        <v>97</v>
      </c>
      <c r="B102">
        <v>371.15</v>
      </c>
      <c r="C102">
        <v>3.0607424605381101E-2</v>
      </c>
      <c r="D102">
        <v>8.6269445446214608</v>
      </c>
      <c r="E102" s="6" t="s">
        <v>13</v>
      </c>
      <c r="F102" s="6" t="s">
        <v>13</v>
      </c>
      <c r="G102" s="6"/>
      <c r="I102">
        <f t="shared" si="7"/>
        <v>96.939257539461892</v>
      </c>
      <c r="J102">
        <f t="shared" si="8"/>
        <v>371.15</v>
      </c>
      <c r="K102">
        <f t="shared" si="9"/>
        <v>862694.45446214604</v>
      </c>
    </row>
    <row r="103" spans="1:11">
      <c r="A103">
        <v>98</v>
      </c>
      <c r="B103">
        <v>372.15</v>
      </c>
      <c r="C103">
        <v>3.0444807632771916E-2</v>
      </c>
      <c r="D103">
        <v>8.6910438200112949</v>
      </c>
      <c r="E103" s="6" t="s">
        <v>13</v>
      </c>
      <c r="F103" s="6" t="s">
        <v>13</v>
      </c>
      <c r="G103" s="6"/>
      <c r="I103">
        <f t="shared" si="7"/>
        <v>96.955519236722807</v>
      </c>
      <c r="J103">
        <f t="shared" si="8"/>
        <v>372.15</v>
      </c>
      <c r="K103">
        <f t="shared" si="9"/>
        <v>869104.38200112944</v>
      </c>
    </row>
    <row r="104" spans="1:11">
      <c r="A104">
        <v>99</v>
      </c>
      <c r="B104">
        <v>373.15</v>
      </c>
      <c r="C104">
        <v>3.0284379656287122E-2</v>
      </c>
      <c r="D104">
        <v>8.7549254337482552</v>
      </c>
      <c r="E104" s="6" t="s">
        <v>13</v>
      </c>
      <c r="F104" s="6" t="s">
        <v>13</v>
      </c>
      <c r="G104" s="6"/>
      <c r="I104">
        <f t="shared" si="7"/>
        <v>96.971562034371289</v>
      </c>
      <c r="J104">
        <f t="shared" si="8"/>
        <v>373.15</v>
      </c>
      <c r="K104">
        <f t="shared" si="9"/>
        <v>875492.5433748255</v>
      </c>
    </row>
    <row r="105" spans="1:11">
      <c r="A105">
        <v>100</v>
      </c>
      <c r="B105">
        <v>374.15</v>
      </c>
      <c r="C105">
        <v>3.0126165104632275E-2</v>
      </c>
      <c r="D105">
        <v>8.8185825382964129</v>
      </c>
      <c r="E105" s="6" t="s">
        <v>13</v>
      </c>
      <c r="F105" s="6" t="s">
        <v>13</v>
      </c>
      <c r="G105" s="6"/>
      <c r="I105">
        <f t="shared" si="7"/>
        <v>96.987383489536768</v>
      </c>
      <c r="J105">
        <f t="shared" si="8"/>
        <v>374.15</v>
      </c>
      <c r="K105">
        <f t="shared" si="9"/>
        <v>881858.25382964127</v>
      </c>
    </row>
    <row r="106" spans="1:11">
      <c r="A106">
        <v>101</v>
      </c>
      <c r="B106">
        <v>375.15</v>
      </c>
      <c r="C106">
        <v>2.9970188406512954E-2</v>
      </c>
      <c r="D106">
        <v>8.8820082861198397</v>
      </c>
      <c r="E106" s="6" t="s">
        <v>13</v>
      </c>
      <c r="F106" s="6" t="s">
        <v>13</v>
      </c>
      <c r="G106" s="6"/>
      <c r="I106">
        <f t="shared" si="7"/>
        <v>97.002981159348707</v>
      </c>
      <c r="J106">
        <f t="shared" si="8"/>
        <v>375.15</v>
      </c>
      <c r="K106">
        <f t="shared" si="9"/>
        <v>888200.82861198392</v>
      </c>
    </row>
    <row r="107" spans="1:11">
      <c r="A107">
        <v>102</v>
      </c>
      <c r="B107">
        <v>376.15</v>
      </c>
      <c r="C107">
        <v>2.9816473990634702E-2</v>
      </c>
      <c r="D107">
        <v>8.9451958296826035</v>
      </c>
      <c r="E107" s="6" t="s">
        <v>13</v>
      </c>
      <c r="F107" s="6" t="s">
        <v>13</v>
      </c>
      <c r="G107" s="6"/>
      <c r="I107">
        <f t="shared" si="7"/>
        <v>97.018352600936524</v>
      </c>
      <c r="J107">
        <f t="shared" si="8"/>
        <v>376.15</v>
      </c>
      <c r="K107">
        <f t="shared" si="9"/>
        <v>894519.58296826039</v>
      </c>
    </row>
    <row r="108" spans="1:11">
      <c r="A108">
        <v>103</v>
      </c>
      <c r="B108">
        <v>377.15</v>
      </c>
      <c r="C108">
        <v>2.9665046285703087E-2</v>
      </c>
      <c r="D108">
        <v>9.0081383214487811</v>
      </c>
      <c r="E108" s="6" t="s">
        <v>13</v>
      </c>
      <c r="F108" s="6" t="s">
        <v>13</v>
      </c>
      <c r="G108" s="6"/>
      <c r="I108">
        <f t="shared" si="7"/>
        <v>97.033495371429694</v>
      </c>
      <c r="J108">
        <f t="shared" si="8"/>
        <v>377.15</v>
      </c>
      <c r="K108">
        <f t="shared" si="9"/>
        <v>900813.83214487811</v>
      </c>
    </row>
    <row r="109" spans="1:11">
      <c r="A109">
        <v>104</v>
      </c>
      <c r="B109">
        <v>378.15</v>
      </c>
      <c r="C109">
        <v>2.9515929720423675E-2</v>
      </c>
      <c r="D109">
        <v>9.0708289138824387</v>
      </c>
      <c r="E109" s="6" t="s">
        <v>13</v>
      </c>
      <c r="F109" s="6" t="s">
        <v>13</v>
      </c>
      <c r="G109" s="6"/>
      <c r="I109">
        <f t="shared" si="7"/>
        <v>97.048407027957623</v>
      </c>
      <c r="J109">
        <f t="shared" si="8"/>
        <v>378.15</v>
      </c>
      <c r="K109">
        <f t="shared" si="9"/>
        <v>907082.89138824388</v>
      </c>
    </row>
    <row r="110" spans="1:11">
      <c r="A110">
        <v>105</v>
      </c>
      <c r="B110">
        <v>379.15</v>
      </c>
      <c r="C110">
        <v>2.936914872350203E-2</v>
      </c>
      <c r="D110">
        <v>9.1332607594476514</v>
      </c>
      <c r="E110" s="6" t="s">
        <v>13</v>
      </c>
      <c r="F110" s="6" t="s">
        <v>13</v>
      </c>
      <c r="G110" s="6"/>
      <c r="I110">
        <f t="shared" si="7"/>
        <v>97.063085127649799</v>
      </c>
      <c r="J110">
        <f t="shared" si="8"/>
        <v>379.15</v>
      </c>
      <c r="K110">
        <f t="shared" si="9"/>
        <v>913326.07594476512</v>
      </c>
    </row>
    <row r="111" spans="1:11">
      <c r="A111">
        <v>106</v>
      </c>
      <c r="B111">
        <v>380.15</v>
      </c>
      <c r="C111">
        <v>2.9224727723643706E-2</v>
      </c>
      <c r="D111">
        <v>9.1954270106084888</v>
      </c>
      <c r="E111" s="6" t="s">
        <v>13</v>
      </c>
      <c r="F111" s="6" t="s">
        <v>13</v>
      </c>
      <c r="G111" s="6"/>
      <c r="I111">
        <f t="shared" si="7"/>
        <v>97.077527227635628</v>
      </c>
      <c r="J111">
        <f t="shared" si="8"/>
        <v>380.15</v>
      </c>
      <c r="K111">
        <f t="shared" si="9"/>
        <v>919542.70106084889</v>
      </c>
    </row>
    <row r="112" spans="1:11">
      <c r="A112">
        <v>107</v>
      </c>
      <c r="B112">
        <v>381.15</v>
      </c>
      <c r="C112">
        <v>2.9082691149554273E-2</v>
      </c>
      <c r="D112">
        <v>9.2573208198290189</v>
      </c>
      <c r="E112" s="6" t="s">
        <v>13</v>
      </c>
      <c r="F112" s="6" t="s">
        <v>13</v>
      </c>
      <c r="G112" s="6"/>
      <c r="I112">
        <f t="shared" si="7"/>
        <v>97.091730885044569</v>
      </c>
      <c r="J112">
        <f t="shared" si="8"/>
        <v>381.15</v>
      </c>
      <c r="K112">
        <f t="shared" si="9"/>
        <v>925732.0819829019</v>
      </c>
    </row>
    <row r="113" spans="1:11">
      <c r="A113">
        <v>108</v>
      </c>
      <c r="B113">
        <v>382.15</v>
      </c>
      <c r="C113">
        <v>2.8943063429939284E-2</v>
      </c>
      <c r="D113">
        <v>9.318935339573315</v>
      </c>
      <c r="E113" s="6" t="s">
        <v>13</v>
      </c>
      <c r="F113" s="6" t="s">
        <v>13</v>
      </c>
      <c r="G113" s="6"/>
      <c r="I113">
        <f t="shared" si="7"/>
        <v>97.105693657006071</v>
      </c>
      <c r="J113">
        <f t="shared" si="8"/>
        <v>382.15</v>
      </c>
      <c r="K113">
        <f t="shared" si="9"/>
        <v>931893.53395733144</v>
      </c>
    </row>
    <row r="114" spans="1:11">
      <c r="A114">
        <v>109</v>
      </c>
      <c r="B114">
        <v>383.15</v>
      </c>
      <c r="C114">
        <v>2.8805868993504315E-2</v>
      </c>
      <c r="D114">
        <v>9.3802637223054521</v>
      </c>
      <c r="E114" s="6" t="s">
        <v>13</v>
      </c>
      <c r="F114" s="6" t="s">
        <v>13</v>
      </c>
      <c r="G114" s="6"/>
      <c r="I114">
        <f t="shared" si="7"/>
        <v>97.119413100649567</v>
      </c>
      <c r="J114">
        <f t="shared" si="8"/>
        <v>383.15</v>
      </c>
      <c r="K114">
        <f t="shared" si="9"/>
        <v>938026.37223054527</v>
      </c>
    </row>
    <row r="115" spans="1:11">
      <c r="A115">
        <v>110</v>
      </c>
      <c r="B115">
        <v>384.15</v>
      </c>
      <c r="C115">
        <v>2.8671132268954916E-2</v>
      </c>
      <c r="D115">
        <v>9.4412991204894965</v>
      </c>
      <c r="E115" s="6" t="s">
        <v>13</v>
      </c>
      <c r="F115" s="6" t="s">
        <v>13</v>
      </c>
      <c r="G115" s="6"/>
      <c r="I115">
        <f t="shared" si="7"/>
        <v>97.132886773104516</v>
      </c>
      <c r="J115">
        <f t="shared" si="8"/>
        <v>384.15</v>
      </c>
      <c r="K115">
        <f t="shared" si="9"/>
        <v>944129.91204894963</v>
      </c>
    </row>
    <row r="116" spans="1:11">
      <c r="A116">
        <v>111</v>
      </c>
      <c r="B116">
        <v>385.15</v>
      </c>
      <c r="C116">
        <v>2.853887768499665E-2</v>
      </c>
      <c r="D116">
        <v>9.5020346865895196</v>
      </c>
      <c r="E116" s="6" t="s">
        <v>13</v>
      </c>
      <c r="F116" s="6" t="s">
        <v>13</v>
      </c>
      <c r="G116" s="6"/>
      <c r="I116">
        <f t="shared" si="7"/>
        <v>97.146112231500339</v>
      </c>
      <c r="J116">
        <f t="shared" si="8"/>
        <v>385.15</v>
      </c>
      <c r="K116">
        <f t="shared" si="9"/>
        <v>950203.46865895193</v>
      </c>
    </row>
    <row r="117" spans="1:11">
      <c r="A117">
        <v>112</v>
      </c>
      <c r="B117">
        <v>386.15</v>
      </c>
      <c r="C117">
        <v>2.8409129670335084E-2</v>
      </c>
      <c r="D117">
        <v>9.5624635730695928</v>
      </c>
      <c r="E117" s="6" t="s">
        <v>13</v>
      </c>
      <c r="F117" s="6" t="s">
        <v>13</v>
      </c>
      <c r="G117" s="6"/>
      <c r="I117">
        <f t="shared" si="7"/>
        <v>97.159087032966497</v>
      </c>
      <c r="J117">
        <f t="shared" si="8"/>
        <v>386.15</v>
      </c>
      <c r="K117">
        <f t="shared" si="9"/>
        <v>956246.35730695934</v>
      </c>
    </row>
    <row r="118" spans="1:11">
      <c r="A118">
        <v>113</v>
      </c>
      <c r="B118">
        <v>387.15</v>
      </c>
      <c r="C118">
        <v>2.8281912653675783E-2</v>
      </c>
      <c r="D118">
        <v>9.6225789323937896</v>
      </c>
      <c r="E118" s="6" t="s">
        <v>13</v>
      </c>
      <c r="F118" s="6" t="s">
        <v>13</v>
      </c>
      <c r="G118" s="6"/>
      <c r="I118">
        <f t="shared" si="7"/>
        <v>97.171808734632421</v>
      </c>
      <c r="J118">
        <f t="shared" si="8"/>
        <v>387.15</v>
      </c>
      <c r="K118">
        <f t="shared" si="9"/>
        <v>962257.89323937893</v>
      </c>
    </row>
    <row r="119" spans="1:11">
      <c r="A119">
        <v>114</v>
      </c>
      <c r="B119">
        <v>388.15</v>
      </c>
      <c r="C119">
        <v>2.8157251063724298E-2</v>
      </c>
      <c r="D119">
        <v>9.6823739170261813</v>
      </c>
      <c r="E119" s="6" t="s">
        <v>13</v>
      </c>
      <c r="F119" s="6" t="s">
        <v>13</v>
      </c>
      <c r="G119" s="6"/>
      <c r="I119">
        <f t="shared" si="7"/>
        <v>97.184274893627574</v>
      </c>
      <c r="J119">
        <f t="shared" si="8"/>
        <v>388.15</v>
      </c>
      <c r="K119">
        <f t="shared" si="9"/>
        <v>968237.3917026181</v>
      </c>
    </row>
    <row r="120" spans="1:11">
      <c r="A120">
        <v>115</v>
      </c>
      <c r="B120">
        <v>389.15</v>
      </c>
      <c r="C120">
        <v>2.8035169329186201E-2</v>
      </c>
      <c r="D120">
        <v>9.7418416794308342</v>
      </c>
      <c r="E120" s="6" t="s">
        <v>13</v>
      </c>
      <c r="F120" s="6" t="s">
        <v>13</v>
      </c>
      <c r="G120" s="6"/>
      <c r="I120">
        <f t="shared" si="7"/>
        <v>97.196483067081388</v>
      </c>
      <c r="J120">
        <f t="shared" si="8"/>
        <v>389.15</v>
      </c>
      <c r="K120">
        <f t="shared" si="9"/>
        <v>974184.16794308345</v>
      </c>
    </row>
    <row r="121" spans="1:11">
      <c r="A121">
        <v>116</v>
      </c>
      <c r="B121">
        <v>390.15</v>
      </c>
      <c r="C121">
        <v>2.7915691878767052E-2</v>
      </c>
      <c r="D121">
        <v>9.8009753720718233</v>
      </c>
      <c r="E121" s="6" t="s">
        <v>13</v>
      </c>
      <c r="F121" s="6" t="s">
        <v>13</v>
      </c>
      <c r="G121" s="6"/>
      <c r="I121">
        <f t="shared" si="7"/>
        <v>97.208430812123297</v>
      </c>
      <c r="J121">
        <f t="shared" si="8"/>
        <v>390.15</v>
      </c>
      <c r="K121">
        <f t="shared" si="9"/>
        <v>980097.53720718238</v>
      </c>
    </row>
    <row r="122" spans="1:11">
      <c r="A122">
        <v>117</v>
      </c>
      <c r="B122">
        <v>391.15</v>
      </c>
      <c r="C122">
        <v>2.7798843141172411E-2</v>
      </c>
      <c r="D122">
        <v>9.8597681474132202</v>
      </c>
      <c r="E122" s="6" t="s">
        <v>13</v>
      </c>
      <c r="F122" s="6" t="s">
        <v>13</v>
      </c>
      <c r="G122" s="6"/>
      <c r="I122">
        <f t="shared" si="7"/>
        <v>97.22011568588276</v>
      </c>
      <c r="J122">
        <f t="shared" si="8"/>
        <v>391.15</v>
      </c>
      <c r="K122">
        <f t="shared" si="9"/>
        <v>985976.81474132207</v>
      </c>
    </row>
    <row r="123" spans="1:11">
      <c r="A123">
        <v>118</v>
      </c>
      <c r="B123">
        <v>392.15</v>
      </c>
      <c r="C123">
        <v>2.7684647545107844E-2</v>
      </c>
      <c r="D123">
        <v>9.9182131579190944</v>
      </c>
      <c r="E123" s="6" t="s">
        <v>13</v>
      </c>
      <c r="F123" s="6" t="s">
        <v>13</v>
      </c>
      <c r="G123" s="6"/>
      <c r="I123">
        <f t="shared" si="7"/>
        <v>97.231535245489226</v>
      </c>
      <c r="J123">
        <f t="shared" si="8"/>
        <v>392.15</v>
      </c>
      <c r="K123">
        <f t="shared" si="9"/>
        <v>991821.31579190947</v>
      </c>
    </row>
    <row r="124" spans="1:11">
      <c r="A124">
        <v>119</v>
      </c>
      <c r="B124">
        <v>393.15</v>
      </c>
      <c r="C124">
        <v>2.7573129519278903E-2</v>
      </c>
      <c r="D124">
        <v>9.9763035560535194</v>
      </c>
      <c r="E124" s="6" t="s">
        <v>13</v>
      </c>
      <c r="F124" s="6" t="s">
        <v>13</v>
      </c>
      <c r="G124" s="6"/>
      <c r="I124">
        <f t="shared" si="7"/>
        <v>97.242687048072113</v>
      </c>
      <c r="J124">
        <f t="shared" si="8"/>
        <v>393.15</v>
      </c>
      <c r="K124">
        <f t="shared" si="9"/>
        <v>997630.35560535197</v>
      </c>
    </row>
    <row r="125" spans="1:11">
      <c r="A125">
        <v>120</v>
      </c>
      <c r="B125">
        <v>394.15</v>
      </c>
      <c r="C125">
        <v>2.746431349239116E-2</v>
      </c>
      <c r="D125">
        <v>10.034032494280561</v>
      </c>
      <c r="E125" s="6" t="s">
        <v>13</v>
      </c>
      <c r="F125" s="6" t="s">
        <v>13</v>
      </c>
      <c r="G125" s="6"/>
      <c r="I125">
        <f t="shared" si="7"/>
        <v>97.253568650760883</v>
      </c>
      <c r="J125">
        <f t="shared" si="8"/>
        <v>394.15</v>
      </c>
      <c r="K125">
        <f t="shared" si="9"/>
        <v>1003403.2494280561</v>
      </c>
    </row>
    <row r="126" spans="1:11">
      <c r="A126">
        <v>121</v>
      </c>
      <c r="B126">
        <v>395.15</v>
      </c>
      <c r="C126">
        <v>2.7358223893150173E-2</v>
      </c>
      <c r="D126">
        <v>10.091393125064295</v>
      </c>
      <c r="E126" s="6" t="s">
        <v>13</v>
      </c>
      <c r="F126" s="6" t="s">
        <v>13</v>
      </c>
      <c r="G126" s="6"/>
      <c r="I126">
        <f t="shared" si="7"/>
        <v>97.264177610684982</v>
      </c>
      <c r="J126">
        <f t="shared" si="8"/>
        <v>395.15</v>
      </c>
      <c r="K126">
        <f t="shared" si="9"/>
        <v>1009139.3125064295</v>
      </c>
    </row>
    <row r="127" spans="1:11">
      <c r="A127">
        <v>122</v>
      </c>
      <c r="B127">
        <v>396.15</v>
      </c>
      <c r="C127">
        <v>2.7254885150261518E-2</v>
      </c>
      <c r="D127">
        <v>10.148378600868794</v>
      </c>
      <c r="E127" s="6" t="s">
        <v>13</v>
      </c>
      <c r="F127" s="6" t="s">
        <v>13</v>
      </c>
      <c r="G127" s="6"/>
      <c r="I127">
        <f t="shared" si="7"/>
        <v>97.274511484973843</v>
      </c>
      <c r="J127">
        <f t="shared" si="8"/>
        <v>396.15</v>
      </c>
      <c r="K127">
        <f t="shared" si="9"/>
        <v>1014837.8600868793</v>
      </c>
    </row>
    <row r="128" spans="1:11">
      <c r="A128">
        <v>123</v>
      </c>
      <c r="B128">
        <v>397.15</v>
      </c>
      <c r="C128">
        <v>2.7154321692430733E-2</v>
      </c>
      <c r="D128">
        <v>10.204982074158124</v>
      </c>
      <c r="E128" s="6" t="s">
        <v>13</v>
      </c>
      <c r="F128" s="6" t="s">
        <v>13</v>
      </c>
      <c r="G128" s="6"/>
      <c r="I128">
        <f t="shared" si="7"/>
        <v>97.284567830756927</v>
      </c>
      <c r="J128">
        <f t="shared" si="8"/>
        <v>397.15</v>
      </c>
      <c r="K128">
        <f t="shared" si="9"/>
        <v>1020498.2074158124</v>
      </c>
    </row>
    <row r="129" spans="1:11">
      <c r="A129">
        <v>124</v>
      </c>
      <c r="B129">
        <v>398.15</v>
      </c>
      <c r="C129">
        <v>2.7056557948363397E-2</v>
      </c>
      <c r="D129">
        <v>10.261196697396359</v>
      </c>
      <c r="E129" s="6" t="s">
        <v>13</v>
      </c>
      <c r="F129" s="6" t="s">
        <v>13</v>
      </c>
      <c r="G129" s="6"/>
      <c r="I129">
        <f t="shared" si="7"/>
        <v>97.294344205163668</v>
      </c>
      <c r="J129">
        <f t="shared" si="8"/>
        <v>398.15</v>
      </c>
      <c r="K129">
        <f t="shared" si="9"/>
        <v>1026119.6697396359</v>
      </c>
    </row>
    <row r="130" spans="1:11">
      <c r="A130">
        <v>125</v>
      </c>
      <c r="B130">
        <v>399.15</v>
      </c>
      <c r="C130">
        <v>2.6961618346765068E-2</v>
      </c>
      <c r="D130">
        <v>10.317015623047569</v>
      </c>
      <c r="E130" s="6" t="s">
        <v>13</v>
      </c>
      <c r="F130" s="6" t="s">
        <v>13</v>
      </c>
      <c r="G130" s="6"/>
      <c r="I130">
        <f t="shared" si="7"/>
        <v>97.303838165323498</v>
      </c>
      <c r="J130">
        <f t="shared" si="8"/>
        <v>399.15</v>
      </c>
      <c r="K130">
        <f t="shared" si="9"/>
        <v>1031701.5623047568</v>
      </c>
    </row>
    <row r="131" spans="1:11">
      <c r="A131">
        <v>126</v>
      </c>
      <c r="B131">
        <v>400.15</v>
      </c>
      <c r="C131">
        <v>2.6869527316341305E-2</v>
      </c>
      <c r="D131">
        <v>10.372432003575828</v>
      </c>
      <c r="E131" s="6" t="s">
        <v>13</v>
      </c>
      <c r="F131" s="6" t="s">
        <v>13</v>
      </c>
      <c r="G131" s="6"/>
      <c r="I131">
        <f t="shared" si="7"/>
        <v>97.313047268365864</v>
      </c>
      <c r="J131">
        <f t="shared" si="8"/>
        <v>400.15</v>
      </c>
      <c r="K131">
        <f t="shared" si="9"/>
        <v>1037243.2003575828</v>
      </c>
    </row>
    <row r="132" spans="1:11">
      <c r="A132">
        <v>127</v>
      </c>
      <c r="B132">
        <v>401.15</v>
      </c>
      <c r="C132">
        <v>2.6780309285797669E-2</v>
      </c>
      <c r="D132">
        <v>10.427438991445205</v>
      </c>
      <c r="E132" s="6" t="s">
        <v>13</v>
      </c>
      <c r="F132" s="6" t="s">
        <v>13</v>
      </c>
      <c r="G132" s="6"/>
      <c r="I132">
        <f t="shared" si="7"/>
        <v>97.321969071420227</v>
      </c>
      <c r="J132">
        <f t="shared" si="8"/>
        <v>401.15</v>
      </c>
      <c r="K132">
        <f t="shared" si="9"/>
        <v>1042743.8991445205</v>
      </c>
    </row>
    <row r="133" spans="1:11">
      <c r="A133">
        <v>128</v>
      </c>
      <c r="B133">
        <v>402.15</v>
      </c>
      <c r="C133">
        <v>2.669398868383973E-2</v>
      </c>
      <c r="D133">
        <v>10.482029739119769</v>
      </c>
      <c r="E133" s="6" t="s">
        <v>13</v>
      </c>
      <c r="F133" s="6" t="s">
        <v>13</v>
      </c>
      <c r="G133" s="6"/>
      <c r="I133">
        <f t="shared" si="7"/>
        <v>97.330601131616021</v>
      </c>
      <c r="J133">
        <f t="shared" si="8"/>
        <v>402.15</v>
      </c>
      <c r="K133">
        <f t="shared" si="9"/>
        <v>1048202.9739119769</v>
      </c>
    </row>
    <row r="134" spans="1:11">
      <c r="A134">
        <v>129</v>
      </c>
      <c r="B134">
        <v>265.14999999999998</v>
      </c>
      <c r="C134">
        <v>0.12226542859759838</v>
      </c>
      <c r="D134">
        <v>3.3965606490013407</v>
      </c>
      <c r="E134" s="6" t="s">
        <v>13</v>
      </c>
      <c r="F134" s="6" t="s">
        <v>13</v>
      </c>
      <c r="G134" s="6"/>
      <c r="I134">
        <f t="shared" si="7"/>
        <v>87.773457140240168</v>
      </c>
      <c r="J134">
        <f t="shared" si="8"/>
        <v>265.14999999999998</v>
      </c>
      <c r="K134">
        <f t="shared" si="9"/>
        <v>339656.06490013405</v>
      </c>
    </row>
    <row r="135" spans="1:11">
      <c r="A135">
        <v>130</v>
      </c>
      <c r="B135">
        <v>266.14999999999998</v>
      </c>
      <c r="C135">
        <v>0.12175363758593478</v>
      </c>
      <c r="D135">
        <v>3.5042504786315316</v>
      </c>
      <c r="E135" s="6" t="s">
        <v>13</v>
      </c>
      <c r="F135" s="6" t="s">
        <v>13</v>
      </c>
      <c r="G135" s="6"/>
      <c r="I135">
        <f t="shared" ref="I135:I198" si="10">(1-C135)*100</f>
        <v>87.824636241406523</v>
      </c>
      <c r="J135">
        <f t="shared" ref="J135:J198" si="11">B135</f>
        <v>266.14999999999998</v>
      </c>
      <c r="K135">
        <f t="shared" ref="K135:K198" si="12">D135*100000</f>
        <v>350425.04786315316</v>
      </c>
    </row>
    <row r="136" spans="1:11">
      <c r="A136">
        <v>131</v>
      </c>
      <c r="B136">
        <v>267.14999999999998</v>
      </c>
      <c r="C136">
        <v>0.12123855397814286</v>
      </c>
      <c r="D136">
        <v>3.6132131534774934</v>
      </c>
      <c r="E136" s="6" t="s">
        <v>13</v>
      </c>
      <c r="F136" s="6" t="s">
        <v>13</v>
      </c>
      <c r="G136" s="6"/>
      <c r="I136">
        <f t="shared" si="10"/>
        <v>87.876144602185718</v>
      </c>
      <c r="J136">
        <f t="shared" si="11"/>
        <v>267.14999999999998</v>
      </c>
      <c r="K136">
        <f t="shared" si="12"/>
        <v>361321.31534774933</v>
      </c>
    </row>
    <row r="137" spans="1:11">
      <c r="A137">
        <v>132</v>
      </c>
      <c r="B137">
        <v>268.14999999999998</v>
      </c>
      <c r="C137">
        <v>0.12072027196423651</v>
      </c>
      <c r="D137">
        <v>3.723430484627031</v>
      </c>
      <c r="E137" s="6" t="s">
        <v>13</v>
      </c>
      <c r="F137" s="6" t="s">
        <v>13</v>
      </c>
      <c r="G137" s="6"/>
      <c r="I137">
        <f t="shared" si="10"/>
        <v>87.927972803576353</v>
      </c>
      <c r="J137">
        <f t="shared" si="11"/>
        <v>268.14999999999998</v>
      </c>
      <c r="K137">
        <f t="shared" si="12"/>
        <v>372343.04846270313</v>
      </c>
    </row>
    <row r="138" spans="1:11">
      <c r="A138">
        <v>133</v>
      </c>
      <c r="B138">
        <v>269.14999999999998</v>
      </c>
      <c r="C138">
        <v>0.12019888573422963</v>
      </c>
      <c r="D138">
        <v>3.8348842831679466</v>
      </c>
      <c r="E138" s="6" t="s">
        <v>13</v>
      </c>
      <c r="F138" s="6" t="s">
        <v>13</v>
      </c>
      <c r="G138" s="6"/>
      <c r="I138">
        <f t="shared" si="10"/>
        <v>87.980111426577039</v>
      </c>
      <c r="J138">
        <f t="shared" si="11"/>
        <v>269.14999999999998</v>
      </c>
      <c r="K138">
        <f t="shared" si="12"/>
        <v>383488.42831679469</v>
      </c>
    </row>
    <row r="139" spans="1:11">
      <c r="A139">
        <v>134</v>
      </c>
      <c r="B139">
        <v>270.14999999999998</v>
      </c>
      <c r="C139">
        <v>0.11967448947813612</v>
      </c>
      <c r="D139">
        <v>3.9475563601880452</v>
      </c>
      <c r="E139" s="6" t="s">
        <v>13</v>
      </c>
      <c r="F139" s="6" t="s">
        <v>13</v>
      </c>
      <c r="G139" s="6"/>
      <c r="I139">
        <f t="shared" si="10"/>
        <v>88.032551052186392</v>
      </c>
      <c r="J139">
        <f t="shared" si="11"/>
        <v>270.14999999999998</v>
      </c>
      <c r="K139">
        <f t="shared" si="12"/>
        <v>394755.63601880451</v>
      </c>
    </row>
    <row r="140" spans="1:11">
      <c r="A140">
        <v>135</v>
      </c>
      <c r="B140">
        <v>271.14999999999998</v>
      </c>
      <c r="C140">
        <v>0.11914717738596983</v>
      </c>
      <c r="D140">
        <v>4.0614285267751313</v>
      </c>
      <c r="E140" s="6" t="s">
        <v>13</v>
      </c>
      <c r="F140" s="6" t="s">
        <v>13</v>
      </c>
      <c r="G140" s="6"/>
      <c r="I140">
        <f t="shared" si="10"/>
        <v>88.085282261403023</v>
      </c>
      <c r="J140">
        <f t="shared" si="11"/>
        <v>271.14999999999998</v>
      </c>
      <c r="K140">
        <f t="shared" si="12"/>
        <v>406142.85267751315</v>
      </c>
    </row>
    <row r="141" spans="1:11">
      <c r="A141">
        <v>136</v>
      </c>
      <c r="B141">
        <v>272.14999999999998</v>
      </c>
      <c r="C141">
        <v>0.11861704364774468</v>
      </c>
      <c r="D141">
        <v>4.1764825940170072</v>
      </c>
      <c r="E141" s="6" t="s">
        <v>13</v>
      </c>
      <c r="F141" s="6" t="s">
        <v>13</v>
      </c>
      <c r="G141" s="6"/>
      <c r="I141">
        <f t="shared" si="10"/>
        <v>88.138295635225532</v>
      </c>
      <c r="J141">
        <f t="shared" si="11"/>
        <v>272.14999999999998</v>
      </c>
      <c r="K141">
        <f t="shared" si="12"/>
        <v>417648.25940170069</v>
      </c>
    </row>
    <row r="142" spans="1:11">
      <c r="A142">
        <v>137</v>
      </c>
      <c r="B142">
        <v>273.14999999999998</v>
      </c>
      <c r="C142">
        <v>0.11808418245347452</v>
      </c>
      <c r="D142">
        <v>4.2927003730014794</v>
      </c>
      <c r="E142" s="6" t="s">
        <v>13</v>
      </c>
      <c r="F142" s="6" t="s">
        <v>13</v>
      </c>
      <c r="G142" s="6"/>
      <c r="I142">
        <f t="shared" si="10"/>
        <v>88.191581754652546</v>
      </c>
      <c r="J142">
        <f t="shared" si="11"/>
        <v>273.14999999999998</v>
      </c>
      <c r="K142">
        <f t="shared" si="12"/>
        <v>429270.03730014793</v>
      </c>
    </row>
    <row r="143" spans="1:11">
      <c r="A143">
        <v>138</v>
      </c>
      <c r="B143">
        <v>274.14999999999998</v>
      </c>
      <c r="C143">
        <v>0.11754868799317326</v>
      </c>
      <c r="D143">
        <v>4.4100636748163504</v>
      </c>
      <c r="E143" s="6" t="s">
        <v>13</v>
      </c>
      <c r="F143" s="6" t="s">
        <v>13</v>
      </c>
      <c r="G143" s="6"/>
      <c r="I143">
        <f t="shared" si="10"/>
        <v>88.245131200682664</v>
      </c>
      <c r="J143">
        <f t="shared" si="11"/>
        <v>274.14999999999998</v>
      </c>
      <c r="K143">
        <f t="shared" si="12"/>
        <v>441006.36748163507</v>
      </c>
    </row>
    <row r="144" spans="1:11">
      <c r="A144">
        <v>139</v>
      </c>
      <c r="B144">
        <v>275.14999999999998</v>
      </c>
      <c r="C144">
        <v>0.1170106544568548</v>
      </c>
      <c r="D144">
        <v>4.5285543105494241</v>
      </c>
      <c r="E144" s="6" t="s">
        <v>13</v>
      </c>
      <c r="F144" s="6" t="s">
        <v>13</v>
      </c>
      <c r="G144" s="6"/>
      <c r="I144">
        <f t="shared" si="10"/>
        <v>88.298934554314528</v>
      </c>
      <c r="J144">
        <f t="shared" si="11"/>
        <v>275.14999999999998</v>
      </c>
      <c r="K144">
        <f t="shared" si="12"/>
        <v>452855.43105494243</v>
      </c>
    </row>
    <row r="145" spans="1:11">
      <c r="A145">
        <v>140</v>
      </c>
      <c r="B145">
        <v>276.14999999999998</v>
      </c>
      <c r="C145">
        <v>0.11647017603453301</v>
      </c>
      <c r="D145">
        <v>4.6481540912885038</v>
      </c>
      <c r="E145" s="6" t="s">
        <v>13</v>
      </c>
      <c r="F145" s="6" t="s">
        <v>13</v>
      </c>
      <c r="G145" s="6"/>
      <c r="I145">
        <f t="shared" si="10"/>
        <v>88.352982396546693</v>
      </c>
      <c r="J145">
        <f t="shared" si="11"/>
        <v>276.14999999999998</v>
      </c>
      <c r="K145">
        <f t="shared" si="12"/>
        <v>464815.40912885038</v>
      </c>
    </row>
    <row r="146" spans="1:11">
      <c r="A146">
        <v>141</v>
      </c>
      <c r="B146">
        <v>277.14999999999998</v>
      </c>
      <c r="C146">
        <v>0.11592734691622178</v>
      </c>
      <c r="D146">
        <v>4.7688448281213969</v>
      </c>
      <c r="E146" s="6" t="s">
        <v>13</v>
      </c>
      <c r="F146" s="6" t="s">
        <v>13</v>
      </c>
      <c r="G146" s="6"/>
      <c r="I146">
        <f t="shared" si="10"/>
        <v>88.407265308377831</v>
      </c>
      <c r="J146">
        <f t="shared" si="11"/>
        <v>277.14999999999998</v>
      </c>
      <c r="K146">
        <f t="shared" si="12"/>
        <v>476884.48281213967</v>
      </c>
    </row>
    <row r="147" spans="1:11">
      <c r="A147">
        <v>142</v>
      </c>
      <c r="B147">
        <v>278.14999999999998</v>
      </c>
      <c r="C147">
        <v>0.11538226129193499</v>
      </c>
      <c r="D147">
        <v>4.8906083321359022</v>
      </c>
      <c r="E147" s="6" t="s">
        <v>13</v>
      </c>
      <c r="F147" s="6" t="s">
        <v>13</v>
      </c>
      <c r="G147" s="6"/>
      <c r="I147">
        <f t="shared" si="10"/>
        <v>88.46177387080651</v>
      </c>
      <c r="J147">
        <f t="shared" si="11"/>
        <v>278.14999999999998</v>
      </c>
      <c r="K147">
        <f t="shared" si="12"/>
        <v>489060.8332135902</v>
      </c>
    </row>
    <row r="148" spans="1:11">
      <c r="A148">
        <v>143</v>
      </c>
      <c r="B148">
        <v>279.14999999999998</v>
      </c>
      <c r="C148">
        <v>0.11483501335168654</v>
      </c>
      <c r="D148">
        <v>5.0134264144198291</v>
      </c>
      <c r="E148" s="6" t="s">
        <v>13</v>
      </c>
      <c r="F148" s="6" t="s">
        <v>13</v>
      </c>
      <c r="G148" s="6"/>
      <c r="I148">
        <f t="shared" si="10"/>
        <v>88.516498664831346</v>
      </c>
      <c r="J148">
        <f t="shared" si="11"/>
        <v>279.14999999999998</v>
      </c>
      <c r="K148">
        <f t="shared" si="12"/>
        <v>501342.64144198288</v>
      </c>
    </row>
    <row r="149" spans="1:11">
      <c r="A149">
        <v>144</v>
      </c>
      <c r="B149">
        <v>280.14999999999998</v>
      </c>
      <c r="C149">
        <v>0.1142856972854903</v>
      </c>
      <c r="D149">
        <v>5.1372808860609771</v>
      </c>
      <c r="E149" s="6" t="s">
        <v>13</v>
      </c>
      <c r="F149" s="6" t="s">
        <v>13</v>
      </c>
      <c r="G149" s="6"/>
      <c r="I149">
        <f t="shared" si="10"/>
        <v>88.571430271450964</v>
      </c>
      <c r="J149">
        <f t="shared" si="11"/>
        <v>280.14999999999998</v>
      </c>
      <c r="K149">
        <f t="shared" si="12"/>
        <v>513728.08860609774</v>
      </c>
    </row>
    <row r="150" spans="1:11">
      <c r="A150">
        <v>145</v>
      </c>
      <c r="B150">
        <v>281.14999999999998</v>
      </c>
      <c r="C150">
        <v>0.11373440728336019</v>
      </c>
      <c r="D150">
        <v>5.262153558147153</v>
      </c>
      <c r="E150" s="6" t="s">
        <v>13</v>
      </c>
      <c r="F150" s="6" t="s">
        <v>13</v>
      </c>
      <c r="G150" s="6"/>
      <c r="I150">
        <f t="shared" si="10"/>
        <v>88.626559271663979</v>
      </c>
      <c r="J150">
        <f t="shared" si="11"/>
        <v>281.14999999999998</v>
      </c>
      <c r="K150">
        <f t="shared" si="12"/>
        <v>526215.35581471527</v>
      </c>
    </row>
    <row r="151" spans="1:11">
      <c r="A151">
        <v>146</v>
      </c>
      <c r="B151">
        <v>282.14999999999998</v>
      </c>
      <c r="C151">
        <v>0.11318123753531005</v>
      </c>
      <c r="D151">
        <v>5.3880262417661591</v>
      </c>
      <c r="E151" s="6" t="s">
        <v>13</v>
      </c>
      <c r="F151" s="6" t="s">
        <v>13</v>
      </c>
      <c r="G151" s="6"/>
      <c r="I151">
        <f t="shared" si="10"/>
        <v>88.681876246468988</v>
      </c>
      <c r="J151">
        <f t="shared" si="11"/>
        <v>282.14999999999998</v>
      </c>
      <c r="K151">
        <f t="shared" si="12"/>
        <v>538802.62417661597</v>
      </c>
    </row>
    <row r="152" spans="1:11">
      <c r="A152">
        <v>147</v>
      </c>
      <c r="B152">
        <v>283.14999999999998</v>
      </c>
      <c r="C152">
        <v>0.11262628223135381</v>
      </c>
      <c r="D152">
        <v>5.514880748005802</v>
      </c>
      <c r="E152" s="6" t="s">
        <v>13</v>
      </c>
      <c r="F152" s="6" t="s">
        <v>13</v>
      </c>
      <c r="G152" s="6"/>
      <c r="I152">
        <f t="shared" si="10"/>
        <v>88.73737177686462</v>
      </c>
      <c r="J152">
        <f t="shared" si="11"/>
        <v>283.14999999999998</v>
      </c>
      <c r="K152">
        <f t="shared" si="12"/>
        <v>551488.07480058016</v>
      </c>
    </row>
    <row r="153" spans="1:11">
      <c r="A153">
        <v>148</v>
      </c>
      <c r="B153">
        <v>284.14999999999998</v>
      </c>
      <c r="C153">
        <v>0.11206963556150533</v>
      </c>
      <c r="D153">
        <v>5.6426988879538831</v>
      </c>
      <c r="E153" s="6" t="s">
        <v>13</v>
      </c>
      <c r="F153" s="6" t="s">
        <v>13</v>
      </c>
      <c r="G153" s="6"/>
      <c r="I153">
        <f t="shared" si="10"/>
        <v>88.793036443849473</v>
      </c>
      <c r="J153">
        <f t="shared" si="11"/>
        <v>284.14999999999998</v>
      </c>
      <c r="K153">
        <f t="shared" si="12"/>
        <v>564269.88879538828</v>
      </c>
    </row>
    <row r="154" spans="1:11">
      <c r="A154">
        <v>149</v>
      </c>
      <c r="B154">
        <v>285.14999999999998</v>
      </c>
      <c r="C154">
        <v>0.11151139171577849</v>
      </c>
      <c r="D154">
        <v>5.7714624726982064</v>
      </c>
      <c r="E154" s="6" t="s">
        <v>13</v>
      </c>
      <c r="F154" s="6" t="s">
        <v>13</v>
      </c>
      <c r="G154" s="6"/>
      <c r="I154">
        <f t="shared" si="10"/>
        <v>88.848860828422147</v>
      </c>
      <c r="J154">
        <f t="shared" si="11"/>
        <v>285.14999999999998</v>
      </c>
      <c r="K154">
        <f t="shared" si="12"/>
        <v>577146.24726982065</v>
      </c>
    </row>
    <row r="155" spans="1:11">
      <c r="A155">
        <v>150</v>
      </c>
      <c r="B155">
        <v>286.14999999999998</v>
      </c>
      <c r="C155">
        <v>0.11095164488418721</v>
      </c>
      <c r="D155">
        <v>5.9011533133265788</v>
      </c>
      <c r="E155" s="6" t="s">
        <v>13</v>
      </c>
      <c r="F155" s="6" t="s">
        <v>13</v>
      </c>
      <c r="G155" s="6"/>
      <c r="I155">
        <f t="shared" si="10"/>
        <v>88.904835511581283</v>
      </c>
      <c r="J155">
        <f t="shared" si="11"/>
        <v>286.14999999999998</v>
      </c>
      <c r="K155">
        <f t="shared" si="12"/>
        <v>590115.33133265784</v>
      </c>
    </row>
    <row r="156" spans="1:11">
      <c r="A156">
        <v>151</v>
      </c>
      <c r="B156">
        <v>287.14999999999998</v>
      </c>
      <c r="C156">
        <v>0.11039048925674534</v>
      </c>
      <c r="D156">
        <v>6.0317532209268006</v>
      </c>
      <c r="E156" s="6" t="s">
        <v>13</v>
      </c>
      <c r="F156" s="6" t="s">
        <v>13</v>
      </c>
      <c r="G156" s="6"/>
      <c r="I156">
        <f t="shared" si="10"/>
        <v>88.960951074325465</v>
      </c>
      <c r="J156">
        <f t="shared" si="11"/>
        <v>287.14999999999998</v>
      </c>
      <c r="K156">
        <f t="shared" si="12"/>
        <v>603175.32209268003</v>
      </c>
    </row>
    <row r="157" spans="1:11">
      <c r="A157">
        <v>152</v>
      </c>
      <c r="B157">
        <v>288.14999999999998</v>
      </c>
      <c r="C157">
        <v>0.10982801902346682</v>
      </c>
      <c r="D157">
        <v>6.1632440065866785</v>
      </c>
      <c r="E157" s="6" t="s">
        <v>13</v>
      </c>
      <c r="F157" s="6" t="s">
        <v>13</v>
      </c>
      <c r="G157" s="6"/>
      <c r="I157">
        <f t="shared" si="10"/>
        <v>89.017198097653321</v>
      </c>
      <c r="J157">
        <f t="shared" si="11"/>
        <v>288.14999999999998</v>
      </c>
      <c r="K157">
        <f t="shared" si="12"/>
        <v>616324.4006586679</v>
      </c>
    </row>
    <row r="158" spans="1:11">
      <c r="A158">
        <v>153</v>
      </c>
      <c r="B158">
        <v>289.14999999999998</v>
      </c>
      <c r="C158">
        <v>0.10926432837436546</v>
      </c>
      <c r="D158">
        <v>6.2956074813940148</v>
      </c>
      <c r="E158" s="6" t="s">
        <v>13</v>
      </c>
      <c r="F158" s="6" t="s">
        <v>13</v>
      </c>
      <c r="G158" s="6"/>
      <c r="I158">
        <f t="shared" si="10"/>
        <v>89.07356716256345</v>
      </c>
      <c r="J158">
        <f t="shared" si="11"/>
        <v>289.14999999999998</v>
      </c>
      <c r="K158">
        <f t="shared" si="12"/>
        <v>629560.74813940143</v>
      </c>
    </row>
    <row r="159" spans="1:11">
      <c r="A159">
        <v>154</v>
      </c>
      <c r="B159">
        <v>290.14999999999998</v>
      </c>
      <c r="C159">
        <v>0.10869951149945523</v>
      </c>
      <c r="D159">
        <v>6.4288254564366154</v>
      </c>
      <c r="E159" s="6" t="s">
        <v>13</v>
      </c>
      <c r="F159" s="6" t="s">
        <v>13</v>
      </c>
      <c r="G159" s="6"/>
      <c r="I159">
        <f t="shared" si="10"/>
        <v>89.130048850054479</v>
      </c>
      <c r="J159">
        <f t="shared" si="11"/>
        <v>290.14999999999998</v>
      </c>
      <c r="K159">
        <f t="shared" si="12"/>
        <v>642882.54564366152</v>
      </c>
    </row>
    <row r="160" spans="1:11">
      <c r="A160">
        <v>155</v>
      </c>
      <c r="B160">
        <v>291.14999999999998</v>
      </c>
      <c r="C160">
        <v>0.10813366258874996</v>
      </c>
      <c r="D160">
        <v>6.5628797428022807</v>
      </c>
      <c r="E160" s="6" t="s">
        <v>13</v>
      </c>
      <c r="F160" s="6" t="s">
        <v>13</v>
      </c>
      <c r="G160" s="6"/>
      <c r="I160">
        <f t="shared" si="10"/>
        <v>89.186633741125007</v>
      </c>
      <c r="J160">
        <f t="shared" si="11"/>
        <v>291.14999999999998</v>
      </c>
      <c r="K160">
        <f t="shared" si="12"/>
        <v>656287.97428022802</v>
      </c>
    </row>
    <row r="161" spans="1:11">
      <c r="A161">
        <v>156</v>
      </c>
      <c r="B161">
        <v>292.14999999999998</v>
      </c>
      <c r="C161">
        <v>0.10756687583226354</v>
      </c>
      <c r="D161">
        <v>6.6977521515788192</v>
      </c>
      <c r="E161" s="6" t="s">
        <v>13</v>
      </c>
      <c r="F161" s="6" t="s">
        <v>13</v>
      </c>
      <c r="G161" s="6"/>
      <c r="I161">
        <f t="shared" si="10"/>
        <v>89.243312416773648</v>
      </c>
      <c r="J161">
        <f t="shared" si="11"/>
        <v>292.14999999999998</v>
      </c>
      <c r="K161">
        <f t="shared" si="12"/>
        <v>669775.21515788196</v>
      </c>
    </row>
    <row r="162" spans="1:11">
      <c r="A162">
        <v>157</v>
      </c>
      <c r="B162">
        <v>293.14999999999998</v>
      </c>
      <c r="C162">
        <v>0.10699924542000988</v>
      </c>
      <c r="D162">
        <v>6.8334244938540332</v>
      </c>
      <c r="E162" s="6" t="s">
        <v>13</v>
      </c>
      <c r="F162" s="6" t="s">
        <v>13</v>
      </c>
      <c r="G162" s="6"/>
      <c r="I162">
        <f t="shared" si="10"/>
        <v>89.300075457999</v>
      </c>
      <c r="J162">
        <f t="shared" si="11"/>
        <v>293.14999999999998</v>
      </c>
      <c r="K162">
        <f t="shared" si="12"/>
        <v>683342.44938540331</v>
      </c>
    </row>
    <row r="163" spans="1:11">
      <c r="A163">
        <v>158</v>
      </c>
      <c r="B163">
        <v>294.14999999999998</v>
      </c>
      <c r="C163">
        <v>0.10643086554200284</v>
      </c>
      <c r="D163">
        <v>6.9698785807157257</v>
      </c>
      <c r="E163" s="6" t="s">
        <v>13</v>
      </c>
      <c r="F163" s="6" t="s">
        <v>13</v>
      </c>
      <c r="G163" s="6"/>
      <c r="I163">
        <f t="shared" si="10"/>
        <v>89.356913445799719</v>
      </c>
      <c r="J163">
        <f t="shared" si="11"/>
        <v>294.14999999999998</v>
      </c>
      <c r="K163">
        <f t="shared" si="12"/>
        <v>696987.85807157261</v>
      </c>
    </row>
    <row r="164" spans="1:11">
      <c r="A164">
        <v>159</v>
      </c>
      <c r="B164">
        <v>295.14999999999998</v>
      </c>
      <c r="C164">
        <v>0.10586183038825636</v>
      </c>
      <c r="D164">
        <v>7.1070962232517019</v>
      </c>
      <c r="E164" s="6" t="s">
        <v>13</v>
      </c>
      <c r="F164" s="6" t="s">
        <v>13</v>
      </c>
      <c r="G164" s="6"/>
      <c r="I164">
        <f t="shared" si="10"/>
        <v>89.413816961174362</v>
      </c>
      <c r="J164">
        <f t="shared" si="11"/>
        <v>295.14999999999998</v>
      </c>
      <c r="K164">
        <f t="shared" si="12"/>
        <v>710709.6223251702</v>
      </c>
    </row>
    <row r="165" spans="1:11">
      <c r="A165">
        <v>160</v>
      </c>
      <c r="B165">
        <v>296.14999999999998</v>
      </c>
      <c r="C165">
        <v>0.10529223414878426</v>
      </c>
      <c r="D165">
        <v>7.2450592325497647</v>
      </c>
      <c r="E165" s="6" t="s">
        <v>13</v>
      </c>
      <c r="F165" s="6" t="s">
        <v>13</v>
      </c>
      <c r="G165" s="6"/>
      <c r="I165">
        <f t="shared" si="10"/>
        <v>89.47077658512157</v>
      </c>
      <c r="J165">
        <f t="shared" si="11"/>
        <v>296.14999999999998</v>
      </c>
      <c r="K165">
        <f t="shared" si="12"/>
        <v>724505.92325497651</v>
      </c>
    </row>
    <row r="166" spans="1:11">
      <c r="A166">
        <v>161</v>
      </c>
      <c r="B166">
        <v>297.14999999999998</v>
      </c>
      <c r="C166">
        <v>0.10472217101360047</v>
      </c>
      <c r="D166">
        <v>7.3837494196977174</v>
      </c>
      <c r="E166" s="6" t="s">
        <v>13</v>
      </c>
      <c r="F166" s="6" t="s">
        <v>13</v>
      </c>
      <c r="G166" s="6"/>
      <c r="I166">
        <f t="shared" si="10"/>
        <v>89.527782898639956</v>
      </c>
      <c r="J166">
        <f t="shared" si="11"/>
        <v>297.14999999999998</v>
      </c>
      <c r="K166">
        <f t="shared" si="12"/>
        <v>738374.94196977175</v>
      </c>
    </row>
    <row r="167" spans="1:11">
      <c r="A167">
        <v>162</v>
      </c>
      <c r="B167">
        <v>298.14999999999998</v>
      </c>
      <c r="C167">
        <v>0.10415173517271886</v>
      </c>
      <c r="D167">
        <v>7.5231485957833666</v>
      </c>
      <c r="E167" s="6" t="s">
        <v>13</v>
      </c>
      <c r="F167" s="6" t="s">
        <v>13</v>
      </c>
      <c r="G167" s="6"/>
      <c r="I167">
        <f t="shared" si="10"/>
        <v>89.584826482728118</v>
      </c>
      <c r="J167">
        <f t="shared" si="11"/>
        <v>298.14999999999998</v>
      </c>
      <c r="K167">
        <f t="shared" si="12"/>
        <v>752314.85957833671</v>
      </c>
    </row>
    <row r="168" spans="1:11">
      <c r="A168">
        <v>163</v>
      </c>
      <c r="B168">
        <v>299.14999999999998</v>
      </c>
      <c r="C168">
        <v>0.10358102081615334</v>
      </c>
      <c r="D168">
        <v>7.6632385718945155</v>
      </c>
      <c r="E168" s="6" t="s">
        <v>13</v>
      </c>
      <c r="F168" s="6" t="s">
        <v>13</v>
      </c>
      <c r="G168" s="6"/>
      <c r="I168">
        <f t="shared" si="10"/>
        <v>89.641897918384657</v>
      </c>
      <c r="J168">
        <f t="shared" si="11"/>
        <v>299.14999999999998</v>
      </c>
      <c r="K168">
        <f t="shared" si="12"/>
        <v>766323.85718945158</v>
      </c>
    </row>
    <row r="169" spans="1:11">
      <c r="A169">
        <v>164</v>
      </c>
      <c r="B169">
        <v>300.14999999999998</v>
      </c>
      <c r="C169">
        <v>0.10301012213391776</v>
      </c>
      <c r="D169">
        <v>7.8040011591189673</v>
      </c>
      <c r="E169" s="6" t="s">
        <v>13</v>
      </c>
      <c r="F169" s="6" t="s">
        <v>13</v>
      </c>
      <c r="G169" s="6"/>
      <c r="I169">
        <f t="shared" si="10"/>
        <v>89.698987786608214</v>
      </c>
      <c r="J169">
        <f t="shared" si="11"/>
        <v>300.14999999999998</v>
      </c>
      <c r="K169">
        <f t="shared" si="12"/>
        <v>780400.11591189669</v>
      </c>
    </row>
    <row r="170" spans="1:11">
      <c r="A170">
        <v>165</v>
      </c>
      <c r="B170">
        <v>301.14999999999998</v>
      </c>
      <c r="C170">
        <v>0.10243913331602603</v>
      </c>
      <c r="D170">
        <v>7.945418168544526</v>
      </c>
      <c r="E170" s="6" t="s">
        <v>13</v>
      </c>
      <c r="F170" s="6" t="s">
        <v>13</v>
      </c>
      <c r="G170" s="6"/>
      <c r="I170">
        <f t="shared" si="10"/>
        <v>89.756086668397401</v>
      </c>
      <c r="J170">
        <f t="shared" si="11"/>
        <v>301.14999999999998</v>
      </c>
      <c r="K170">
        <f t="shared" si="12"/>
        <v>794541.8168544526</v>
      </c>
    </row>
    <row r="171" spans="1:11">
      <c r="A171">
        <v>166</v>
      </c>
      <c r="B171">
        <v>302.14999999999998</v>
      </c>
      <c r="C171">
        <v>0.10186814855249203</v>
      </c>
      <c r="D171">
        <v>8.0874714112589974</v>
      </c>
      <c r="E171" s="6" t="s">
        <v>13</v>
      </c>
      <c r="F171" s="6" t="s">
        <v>13</v>
      </c>
      <c r="G171" s="6"/>
      <c r="I171">
        <f t="shared" si="10"/>
        <v>89.81318514475079</v>
      </c>
      <c r="J171">
        <f t="shared" si="11"/>
        <v>302.14999999999998</v>
      </c>
      <c r="K171">
        <f t="shared" si="12"/>
        <v>808747.14112589974</v>
      </c>
    </row>
    <row r="172" spans="1:11">
      <c r="A172">
        <v>167</v>
      </c>
      <c r="B172">
        <v>303.14999999999998</v>
      </c>
      <c r="C172">
        <v>0.10129726203332966</v>
      </c>
      <c r="D172">
        <v>8.230142698350182</v>
      </c>
      <c r="E172" s="6" t="s">
        <v>13</v>
      </c>
      <c r="F172" s="6" t="s">
        <v>13</v>
      </c>
      <c r="G172" s="6"/>
      <c r="I172">
        <f t="shared" si="10"/>
        <v>89.870273796667036</v>
      </c>
      <c r="J172">
        <f t="shared" si="11"/>
        <v>303.14999999999998</v>
      </c>
      <c r="K172">
        <f t="shared" si="12"/>
        <v>823014.2698350182</v>
      </c>
    </row>
    <row r="173" spans="1:11">
      <c r="A173">
        <v>168</v>
      </c>
      <c r="B173">
        <v>304.14999999999998</v>
      </c>
      <c r="C173">
        <v>0.10072656794855277</v>
      </c>
      <c r="D173">
        <v>8.3734138409058865</v>
      </c>
      <c r="E173" s="6" t="s">
        <v>13</v>
      </c>
      <c r="F173" s="6" t="s">
        <v>13</v>
      </c>
      <c r="G173" s="6"/>
      <c r="I173">
        <f t="shared" si="10"/>
        <v>89.927343205144723</v>
      </c>
      <c r="J173">
        <f t="shared" si="11"/>
        <v>304.14999999999998</v>
      </c>
      <c r="K173">
        <f t="shared" si="12"/>
        <v>837341.38409058866</v>
      </c>
    </row>
    <row r="174" spans="1:11">
      <c r="A174">
        <v>169</v>
      </c>
      <c r="B174">
        <v>305.14999999999998</v>
      </c>
      <c r="C174">
        <v>0.10015616048817529</v>
      </c>
      <c r="D174">
        <v>8.5172666500139158</v>
      </c>
      <c r="E174" s="6" t="s">
        <v>13</v>
      </c>
      <c r="F174" s="6" t="s">
        <v>13</v>
      </c>
      <c r="G174" s="6"/>
      <c r="I174">
        <f t="shared" si="10"/>
        <v>89.984383951182465</v>
      </c>
      <c r="J174">
        <f t="shared" si="11"/>
        <v>305.14999999999998</v>
      </c>
      <c r="K174">
        <f t="shared" si="12"/>
        <v>851726.66500139155</v>
      </c>
    </row>
    <row r="175" spans="1:11">
      <c r="A175">
        <v>170</v>
      </c>
      <c r="B175">
        <v>306.14999999999998</v>
      </c>
      <c r="C175">
        <v>9.95861338422111E-2</v>
      </c>
      <c r="D175">
        <v>8.6616829367620713</v>
      </c>
      <c r="E175" s="6" t="s">
        <v>13</v>
      </c>
      <c r="F175" s="6" t="s">
        <v>13</v>
      </c>
      <c r="G175" s="6"/>
      <c r="I175">
        <f t="shared" si="10"/>
        <v>90.04138661577889</v>
      </c>
      <c r="J175">
        <f t="shared" si="11"/>
        <v>306.14999999999998</v>
      </c>
      <c r="K175">
        <f t="shared" si="12"/>
        <v>866168.29367620719</v>
      </c>
    </row>
    <row r="176" spans="1:11">
      <c r="A176">
        <v>171</v>
      </c>
      <c r="B176">
        <v>307.14999999999998</v>
      </c>
      <c r="C176">
        <v>9.9016582200674066E-2</v>
      </c>
      <c r="D176">
        <v>8.8066445122381563</v>
      </c>
      <c r="E176" s="6" t="s">
        <v>13</v>
      </c>
      <c r="F176" s="6" t="s">
        <v>13</v>
      </c>
      <c r="G176" s="6"/>
      <c r="I176">
        <f t="shared" si="10"/>
        <v>90.098341779932582</v>
      </c>
      <c r="J176">
        <f t="shared" si="11"/>
        <v>307.14999999999998</v>
      </c>
      <c r="K176">
        <f t="shared" si="12"/>
        <v>880664.45122381567</v>
      </c>
    </row>
    <row r="177" spans="1:11">
      <c r="A177">
        <v>172</v>
      </c>
      <c r="B177">
        <v>308.14999999999998</v>
      </c>
      <c r="C177">
        <v>9.8447599753578072E-2</v>
      </c>
      <c r="D177">
        <v>8.952133187529979</v>
      </c>
      <c r="E177" s="6" t="s">
        <v>13</v>
      </c>
      <c r="F177" s="6" t="s">
        <v>13</v>
      </c>
      <c r="G177" s="6"/>
      <c r="I177">
        <f t="shared" si="10"/>
        <v>90.155240024642197</v>
      </c>
      <c r="J177">
        <f t="shared" si="11"/>
        <v>308.14999999999998</v>
      </c>
      <c r="K177">
        <f t="shared" si="12"/>
        <v>895213.3187529979</v>
      </c>
    </row>
    <row r="178" spans="1:11">
      <c r="A178">
        <v>173</v>
      </c>
      <c r="B178">
        <v>309.14999999999998</v>
      </c>
      <c r="C178">
        <v>9.7879280690937029E-2</v>
      </c>
      <c r="D178">
        <v>9.0981307737253392</v>
      </c>
      <c r="E178" s="6" t="s">
        <v>13</v>
      </c>
      <c r="F178" s="6" t="s">
        <v>13</v>
      </c>
      <c r="G178" s="6"/>
      <c r="I178">
        <f t="shared" si="10"/>
        <v>90.212071930906305</v>
      </c>
      <c r="J178">
        <f t="shared" si="11"/>
        <v>309.14999999999998</v>
      </c>
      <c r="K178">
        <f t="shared" si="12"/>
        <v>909813.07737253397</v>
      </c>
    </row>
    <row r="179" spans="1:11">
      <c r="A179">
        <v>174</v>
      </c>
      <c r="B179">
        <v>310.14999999999998</v>
      </c>
      <c r="C179">
        <v>9.7311719202764824E-2</v>
      </c>
      <c r="D179">
        <v>9.2446190819120453</v>
      </c>
      <c r="E179" s="6" t="s">
        <v>13</v>
      </c>
      <c r="F179" s="6" t="s">
        <v>13</v>
      </c>
      <c r="G179" s="6"/>
      <c r="I179">
        <f t="shared" si="10"/>
        <v>90.268828079723519</v>
      </c>
      <c r="J179">
        <f t="shared" si="11"/>
        <v>310.14999999999998</v>
      </c>
      <c r="K179">
        <f t="shared" si="12"/>
        <v>924461.90819120454</v>
      </c>
    </row>
    <row r="180" spans="1:11">
      <c r="A180">
        <v>175</v>
      </c>
      <c r="B180">
        <v>311.14999999999998</v>
      </c>
      <c r="C180">
        <v>9.6745009479075328E-2</v>
      </c>
      <c r="D180">
        <v>9.3915799231778987</v>
      </c>
      <c r="E180" s="6" t="s">
        <v>13</v>
      </c>
      <c r="F180" s="6" t="s">
        <v>13</v>
      </c>
      <c r="G180" s="6"/>
      <c r="I180">
        <f t="shared" si="10"/>
        <v>90.325499052092468</v>
      </c>
      <c r="J180">
        <f t="shared" si="11"/>
        <v>311.14999999999998</v>
      </c>
      <c r="K180">
        <f t="shared" si="12"/>
        <v>939157.99231778982</v>
      </c>
    </row>
    <row r="181" spans="1:11">
      <c r="A181">
        <v>176</v>
      </c>
      <c r="B181">
        <v>312.14999999999998</v>
      </c>
      <c r="C181">
        <v>9.6179245709882427E-2</v>
      </c>
      <c r="D181">
        <v>9.5389951086107025</v>
      </c>
      <c r="E181" s="6" t="s">
        <v>13</v>
      </c>
      <c r="F181" s="6" t="s">
        <v>13</v>
      </c>
      <c r="G181" s="6"/>
      <c r="I181">
        <f t="shared" si="10"/>
        <v>90.382075429011749</v>
      </c>
      <c r="J181">
        <f t="shared" si="11"/>
        <v>312.14999999999998</v>
      </c>
      <c r="K181">
        <f t="shared" si="12"/>
        <v>953899.51086107024</v>
      </c>
    </row>
    <row r="182" spans="1:11">
      <c r="A182">
        <v>177</v>
      </c>
      <c r="B182">
        <v>313.14999999999998</v>
      </c>
      <c r="C182">
        <v>9.5614522085200007E-2</v>
      </c>
      <c r="D182">
        <v>9.6868464492982618</v>
      </c>
      <c r="E182" s="6" t="s">
        <v>13</v>
      </c>
      <c r="F182" s="6" t="s">
        <v>13</v>
      </c>
      <c r="G182" s="6"/>
      <c r="I182">
        <f t="shared" si="10"/>
        <v>90.438547791479991</v>
      </c>
      <c r="J182">
        <f t="shared" si="11"/>
        <v>313.14999999999998</v>
      </c>
      <c r="K182">
        <f t="shared" si="12"/>
        <v>968684.64492982614</v>
      </c>
    </row>
    <row r="183" spans="1:11">
      <c r="A183">
        <v>178</v>
      </c>
      <c r="B183">
        <v>314.14999999999998</v>
      </c>
      <c r="C183">
        <v>9.5050932795041995E-2</v>
      </c>
      <c r="D183">
        <v>9.8351157563283795</v>
      </c>
      <c r="E183" s="6" t="s">
        <v>13</v>
      </c>
      <c r="F183" s="6" t="s">
        <v>13</v>
      </c>
      <c r="G183" s="6"/>
      <c r="I183">
        <f t="shared" si="10"/>
        <v>90.494906720495806</v>
      </c>
      <c r="J183">
        <f t="shared" si="11"/>
        <v>314.14999999999998</v>
      </c>
      <c r="K183">
        <f t="shared" si="12"/>
        <v>983511.57563283795</v>
      </c>
    </row>
    <row r="184" spans="1:11">
      <c r="A184">
        <v>179</v>
      </c>
      <c r="B184">
        <v>315.14999999999998</v>
      </c>
      <c r="C184">
        <v>9.4488572029422194E-2</v>
      </c>
      <c r="D184">
        <v>9.9837848407888607</v>
      </c>
      <c r="E184" s="6" t="s">
        <v>13</v>
      </c>
      <c r="F184" s="6" t="s">
        <v>13</v>
      </c>
      <c r="G184" s="6"/>
      <c r="I184">
        <f t="shared" si="10"/>
        <v>90.551142797057778</v>
      </c>
      <c r="J184">
        <f t="shared" si="11"/>
        <v>315.14999999999998</v>
      </c>
      <c r="K184">
        <f t="shared" si="12"/>
        <v>998378.4840788861</v>
      </c>
    </row>
    <row r="185" spans="1:11">
      <c r="A185">
        <v>180</v>
      </c>
      <c r="B185">
        <v>316.14999999999998</v>
      </c>
      <c r="C185">
        <v>9.3927533978354572E-2</v>
      </c>
      <c r="D185">
        <v>10.13283551376751</v>
      </c>
      <c r="E185" s="6" t="s">
        <v>13</v>
      </c>
      <c r="F185" s="6" t="s">
        <v>13</v>
      </c>
      <c r="G185" s="6"/>
      <c r="I185">
        <f t="shared" si="10"/>
        <v>90.607246602164551</v>
      </c>
      <c r="J185">
        <f t="shared" si="11"/>
        <v>316.14999999999998</v>
      </c>
      <c r="K185">
        <f t="shared" si="12"/>
        <v>1013283.551376751</v>
      </c>
    </row>
    <row r="186" spans="1:11">
      <c r="A186">
        <v>181</v>
      </c>
      <c r="B186">
        <v>317.14999999999998</v>
      </c>
      <c r="C186">
        <v>9.3367912831852987E-2</v>
      </c>
      <c r="D186">
        <v>10.282249586352131</v>
      </c>
      <c r="E186" s="6" t="s">
        <v>13</v>
      </c>
      <c r="F186" s="6" t="s">
        <v>13</v>
      </c>
      <c r="G186" s="6"/>
      <c r="I186">
        <f t="shared" si="10"/>
        <v>90.663208716814708</v>
      </c>
      <c r="J186">
        <f t="shared" si="11"/>
        <v>317.14999999999998</v>
      </c>
      <c r="K186">
        <f t="shared" si="12"/>
        <v>1028224.9586352132</v>
      </c>
    </row>
    <row r="187" spans="1:11">
      <c r="A187">
        <v>182</v>
      </c>
      <c r="B187">
        <v>318.14999999999998</v>
      </c>
      <c r="C187">
        <v>9.2809802779931339E-2</v>
      </c>
      <c r="D187">
        <v>10.432008869630527</v>
      </c>
      <c r="E187" s="6" t="s">
        <v>13</v>
      </c>
      <c r="F187" s="6" t="s">
        <v>13</v>
      </c>
      <c r="G187" s="6"/>
      <c r="I187">
        <f t="shared" si="10"/>
        <v>90.719019722006863</v>
      </c>
      <c r="J187">
        <f t="shared" si="11"/>
        <v>318.14999999999998</v>
      </c>
      <c r="K187">
        <f t="shared" si="12"/>
        <v>1043200.8869630527</v>
      </c>
    </row>
    <row r="188" spans="1:11">
      <c r="A188">
        <v>183</v>
      </c>
      <c r="B188">
        <v>319.14999999999998</v>
      </c>
      <c r="C188">
        <v>9.2253298012603471E-2</v>
      </c>
      <c r="D188">
        <v>10.582095174690503</v>
      </c>
      <c r="E188" s="6" t="s">
        <v>13</v>
      </c>
      <c r="F188" s="6" t="s">
        <v>13</v>
      </c>
      <c r="G188" s="6"/>
      <c r="I188">
        <f t="shared" si="10"/>
        <v>90.774670198739642</v>
      </c>
      <c r="J188">
        <f t="shared" si="11"/>
        <v>319.14999999999998</v>
      </c>
      <c r="K188">
        <f t="shared" si="12"/>
        <v>1058209.5174690504</v>
      </c>
    </row>
    <row r="189" spans="1:11">
      <c r="A189">
        <v>184</v>
      </c>
      <c r="B189">
        <v>320.14999999999998</v>
      </c>
      <c r="C189">
        <v>9.1698492719883298E-2</v>
      </c>
      <c r="D189">
        <v>10.732490312619861</v>
      </c>
      <c r="E189" s="6" t="s">
        <v>13</v>
      </c>
      <c r="F189" s="6" t="s">
        <v>13</v>
      </c>
      <c r="G189" s="6"/>
      <c r="I189">
        <f t="shared" si="10"/>
        <v>90.830150728011674</v>
      </c>
      <c r="J189">
        <f t="shared" si="11"/>
        <v>320.14999999999998</v>
      </c>
      <c r="K189">
        <f t="shared" si="12"/>
        <v>1073249.0312619861</v>
      </c>
    </row>
    <row r="190" spans="1:11">
      <c r="A190">
        <v>185</v>
      </c>
      <c r="B190">
        <v>321.14999999999998</v>
      </c>
      <c r="C190">
        <v>9.1145481091784733E-2</v>
      </c>
      <c r="D190">
        <v>10.883176094506407</v>
      </c>
      <c r="E190" s="6" t="s">
        <v>13</v>
      </c>
      <c r="F190" s="6" t="s">
        <v>13</v>
      </c>
      <c r="G190" s="6"/>
      <c r="I190">
        <f t="shared" si="10"/>
        <v>90.885451890821528</v>
      </c>
      <c r="J190">
        <f t="shared" si="11"/>
        <v>321.14999999999998</v>
      </c>
      <c r="K190">
        <f t="shared" si="12"/>
        <v>1088317.6094506406</v>
      </c>
    </row>
    <row r="191" spans="1:11">
      <c r="A191">
        <v>186</v>
      </c>
      <c r="B191">
        <v>322.14999999999998</v>
      </c>
      <c r="C191">
        <v>9.0594357318321619E-2</v>
      </c>
      <c r="D191">
        <v>11.034134331437947</v>
      </c>
      <c r="E191" s="6" t="s">
        <v>13</v>
      </c>
      <c r="F191" s="6" t="s">
        <v>13</v>
      </c>
      <c r="G191" s="6"/>
      <c r="I191">
        <f t="shared" si="10"/>
        <v>90.940564268167833</v>
      </c>
      <c r="J191">
        <f t="shared" si="11"/>
        <v>322.14999999999998</v>
      </c>
      <c r="K191">
        <f t="shared" si="12"/>
        <v>1103413.4331437948</v>
      </c>
    </row>
    <row r="192" spans="1:11">
      <c r="A192">
        <v>187</v>
      </c>
      <c r="B192">
        <v>323.14999999999998</v>
      </c>
      <c r="C192">
        <v>9.0045215589507871E-2</v>
      </c>
      <c r="D192">
        <v>11.18534683450228</v>
      </c>
      <c r="E192" s="6" t="s">
        <v>13</v>
      </c>
      <c r="F192" s="6" t="s">
        <v>13</v>
      </c>
      <c r="G192" s="6"/>
      <c r="I192">
        <f t="shared" si="10"/>
        <v>90.995478441049215</v>
      </c>
      <c r="J192">
        <f t="shared" si="11"/>
        <v>323.14999999999998</v>
      </c>
      <c r="K192">
        <f t="shared" si="12"/>
        <v>1118534.6834502281</v>
      </c>
    </row>
    <row r="193" spans="1:11">
      <c r="A193">
        <v>188</v>
      </c>
      <c r="B193">
        <v>324.14999999999998</v>
      </c>
      <c r="C193">
        <v>8.9498150095357359E-2</v>
      </c>
      <c r="D193">
        <v>11.336795414787213</v>
      </c>
      <c r="E193" s="6" t="s">
        <v>13</v>
      </c>
      <c r="F193" s="6" t="s">
        <v>13</v>
      </c>
      <c r="G193" s="6"/>
      <c r="I193">
        <f t="shared" si="10"/>
        <v>91.05018499046426</v>
      </c>
      <c r="J193">
        <f t="shared" si="11"/>
        <v>324.14999999999998</v>
      </c>
      <c r="K193">
        <f t="shared" si="12"/>
        <v>1133679.5414787212</v>
      </c>
    </row>
    <row r="194" spans="1:11">
      <c r="A194">
        <v>189</v>
      </c>
      <c r="B194">
        <v>325.14999999999998</v>
      </c>
      <c r="C194">
        <v>8.8953255025883984E-2</v>
      </c>
      <c r="D194">
        <v>11.488461883380548</v>
      </c>
      <c r="E194" s="6" t="s">
        <v>13</v>
      </c>
      <c r="F194" s="6" t="s">
        <v>13</v>
      </c>
      <c r="G194" s="6"/>
      <c r="I194">
        <f t="shared" si="10"/>
        <v>91.104674497411594</v>
      </c>
      <c r="J194">
        <f t="shared" si="11"/>
        <v>325.14999999999998</v>
      </c>
      <c r="K194">
        <f t="shared" si="12"/>
        <v>1148846.1883380548</v>
      </c>
    </row>
    <row r="195" spans="1:11">
      <c r="A195">
        <v>190</v>
      </c>
      <c r="B195">
        <v>326.14999999999998</v>
      </c>
      <c r="C195">
        <v>8.8410624571101631E-2</v>
      </c>
      <c r="D195">
        <v>11.640328051370092</v>
      </c>
      <c r="E195" s="6" t="s">
        <v>13</v>
      </c>
      <c r="F195" s="6" t="s">
        <v>13</v>
      </c>
      <c r="G195" s="6"/>
      <c r="I195">
        <f t="shared" si="10"/>
        <v>91.158937542889845</v>
      </c>
      <c r="J195">
        <f t="shared" si="11"/>
        <v>326.14999999999998</v>
      </c>
      <c r="K195">
        <f t="shared" si="12"/>
        <v>1164032.8051370091</v>
      </c>
    </row>
    <row r="196" spans="1:11">
      <c r="A196">
        <v>191</v>
      </c>
      <c r="B196">
        <v>327.14999999999998</v>
      </c>
      <c r="C196">
        <v>8.7870352921024172E-2</v>
      </c>
      <c r="D196">
        <v>11.792375729843647</v>
      </c>
      <c r="E196" s="6" t="s">
        <v>13</v>
      </c>
      <c r="F196" s="6" t="s">
        <v>13</v>
      </c>
      <c r="G196" s="6"/>
      <c r="I196">
        <f t="shared" si="10"/>
        <v>91.212964707897584</v>
      </c>
      <c r="J196">
        <f t="shared" si="11"/>
        <v>327.14999999999998</v>
      </c>
      <c r="K196">
        <f t="shared" si="12"/>
        <v>1179237.5729843646</v>
      </c>
    </row>
    <row r="197" spans="1:11">
      <c r="A197">
        <v>192</v>
      </c>
      <c r="B197">
        <v>328.15</v>
      </c>
      <c r="C197">
        <v>8.7332534265665521E-2</v>
      </c>
      <c r="D197">
        <v>11.944586729889016</v>
      </c>
      <c r="E197" s="6" t="s">
        <v>13</v>
      </c>
      <c r="F197" s="6" t="s">
        <v>13</v>
      </c>
      <c r="G197" s="6"/>
      <c r="I197">
        <f t="shared" si="10"/>
        <v>91.266746573433437</v>
      </c>
      <c r="J197">
        <f t="shared" si="11"/>
        <v>328.15</v>
      </c>
      <c r="K197">
        <f t="shared" si="12"/>
        <v>1194458.6729889016</v>
      </c>
    </row>
    <row r="198" spans="1:11">
      <c r="A198">
        <v>193</v>
      </c>
      <c r="B198">
        <v>329.15</v>
      </c>
      <c r="C198">
        <v>8.6797262795039534E-2</v>
      </c>
      <c r="D198">
        <v>12.096942862594009</v>
      </c>
      <c r="E198" s="6" t="s">
        <v>13</v>
      </c>
      <c r="F198" s="6" t="s">
        <v>13</v>
      </c>
      <c r="G198" s="6"/>
      <c r="I198">
        <f t="shared" si="10"/>
        <v>91.320273720496047</v>
      </c>
      <c r="J198">
        <f t="shared" si="11"/>
        <v>329.15</v>
      </c>
      <c r="K198">
        <f t="shared" si="12"/>
        <v>1209694.2862594009</v>
      </c>
    </row>
    <row r="199" spans="1:11">
      <c r="A199">
        <v>194</v>
      </c>
      <c r="B199">
        <v>330.15</v>
      </c>
      <c r="C199">
        <v>8.6264632699160126E-2</v>
      </c>
      <c r="D199">
        <v>12.249425939046423</v>
      </c>
      <c r="E199" s="6" t="s">
        <v>13</v>
      </c>
      <c r="F199" s="6" t="s">
        <v>13</v>
      </c>
      <c r="G199" s="6"/>
      <c r="I199">
        <f t="shared" ref="I199:I262" si="13">(1-C199)*100</f>
        <v>91.373536730083998</v>
      </c>
      <c r="J199">
        <f t="shared" ref="J199:J262" si="14">B199</f>
        <v>330.15</v>
      </c>
      <c r="K199">
        <f t="shared" ref="K199:K262" si="15">D199*100000</f>
        <v>1224942.5939046424</v>
      </c>
    </row>
    <row r="200" spans="1:11">
      <c r="A200">
        <v>195</v>
      </c>
      <c r="B200">
        <v>331.15</v>
      </c>
      <c r="C200">
        <v>8.5734738168041141E-2</v>
      </c>
      <c r="D200">
        <v>12.402017770334066</v>
      </c>
      <c r="E200" s="6" t="s">
        <v>13</v>
      </c>
      <c r="F200" s="6" t="s">
        <v>13</v>
      </c>
      <c r="G200" s="6"/>
      <c r="I200">
        <f t="shared" si="13"/>
        <v>91.42652618319589</v>
      </c>
      <c r="J200">
        <f t="shared" si="14"/>
        <v>331.15</v>
      </c>
      <c r="K200">
        <f t="shared" si="15"/>
        <v>1240201.7770334065</v>
      </c>
    </row>
    <row r="201" spans="1:11">
      <c r="A201">
        <v>196</v>
      </c>
      <c r="B201">
        <v>332.15</v>
      </c>
      <c r="C201">
        <v>8.520767339169652E-2</v>
      </c>
      <c r="D201">
        <v>12.554700167544738</v>
      </c>
      <c r="E201" s="6" t="s">
        <v>13</v>
      </c>
      <c r="F201" s="6" t="s">
        <v>13</v>
      </c>
      <c r="G201" s="6"/>
      <c r="I201">
        <f t="shared" si="13"/>
        <v>91.479232660830348</v>
      </c>
      <c r="J201">
        <f t="shared" si="14"/>
        <v>332.15</v>
      </c>
      <c r="K201">
        <f t="shared" si="15"/>
        <v>1255470.0167544738</v>
      </c>
    </row>
    <row r="202" spans="1:11">
      <c r="A202">
        <v>197</v>
      </c>
      <c r="B202">
        <v>333.15</v>
      </c>
      <c r="C202">
        <v>8.4683532560140107E-2</v>
      </c>
      <c r="D202">
        <v>12.707454941766246</v>
      </c>
      <c r="E202" s="6" t="s">
        <v>13</v>
      </c>
      <c r="F202" s="6" t="s">
        <v>13</v>
      </c>
      <c r="G202" s="6"/>
      <c r="I202">
        <f t="shared" si="13"/>
        <v>91.531646743985988</v>
      </c>
      <c r="J202">
        <f t="shared" si="14"/>
        <v>333.15</v>
      </c>
      <c r="K202">
        <f t="shared" si="15"/>
        <v>1270745.4941766246</v>
      </c>
    </row>
    <row r="203" spans="1:11">
      <c r="A203">
        <v>198</v>
      </c>
      <c r="B203">
        <v>334.15</v>
      </c>
      <c r="C203">
        <v>8.4162409863385815E-2</v>
      </c>
      <c r="D203">
        <v>12.860263904086393</v>
      </c>
      <c r="E203" s="6" t="s">
        <v>13</v>
      </c>
      <c r="F203" s="6" t="s">
        <v>13</v>
      </c>
      <c r="G203" s="6"/>
      <c r="I203">
        <f t="shared" si="13"/>
        <v>91.583759013661421</v>
      </c>
      <c r="J203">
        <f t="shared" si="14"/>
        <v>334.15</v>
      </c>
      <c r="K203">
        <f t="shared" si="15"/>
        <v>1286026.3904086393</v>
      </c>
    </row>
    <row r="204" spans="1:11">
      <c r="A204">
        <v>199</v>
      </c>
      <c r="B204">
        <v>335.15</v>
      </c>
      <c r="C204">
        <v>8.3644399491447544E-2</v>
      </c>
      <c r="D204">
        <v>13.013108865592987</v>
      </c>
      <c r="E204" s="6" t="s">
        <v>13</v>
      </c>
      <c r="F204" s="6" t="s">
        <v>13</v>
      </c>
      <c r="G204" s="6"/>
      <c r="I204">
        <f t="shared" si="13"/>
        <v>91.635560050855247</v>
      </c>
      <c r="J204">
        <f t="shared" si="14"/>
        <v>335.15</v>
      </c>
      <c r="K204">
        <f t="shared" si="15"/>
        <v>1301310.8865592987</v>
      </c>
    </row>
    <row r="205" spans="1:11">
      <c r="A205">
        <v>200</v>
      </c>
      <c r="B205">
        <v>336.15</v>
      </c>
      <c r="C205">
        <v>8.3129595634339151E-2</v>
      </c>
      <c r="D205">
        <v>13.165971637373826</v>
      </c>
      <c r="E205" s="6" t="s">
        <v>13</v>
      </c>
      <c r="F205" s="6" t="s">
        <v>13</v>
      </c>
      <c r="G205" s="6"/>
      <c r="I205">
        <f t="shared" si="13"/>
        <v>91.687040436566079</v>
      </c>
      <c r="J205">
        <f t="shared" si="14"/>
        <v>336.15</v>
      </c>
      <c r="K205">
        <f t="shared" si="15"/>
        <v>1316597.1637373825</v>
      </c>
    </row>
    <row r="206" spans="1:11">
      <c r="A206">
        <v>201</v>
      </c>
      <c r="B206">
        <v>337.15</v>
      </c>
      <c r="C206">
        <v>8.2618092482074523E-2</v>
      </c>
      <c r="D206">
        <v>13.318834030516719</v>
      </c>
      <c r="E206" s="6" t="s">
        <v>13</v>
      </c>
      <c r="F206" s="6" t="s">
        <v>13</v>
      </c>
      <c r="G206" s="6"/>
      <c r="I206">
        <f t="shared" si="13"/>
        <v>91.738190751792544</v>
      </c>
      <c r="J206">
        <f t="shared" si="14"/>
        <v>337.15</v>
      </c>
      <c r="K206">
        <f t="shared" si="15"/>
        <v>1331883.4030516718</v>
      </c>
    </row>
    <row r="207" spans="1:11">
      <c r="A207">
        <v>202</v>
      </c>
      <c r="B207">
        <v>338.15</v>
      </c>
      <c r="C207">
        <v>8.2109984224667545E-2</v>
      </c>
      <c r="D207">
        <v>13.471677856109464</v>
      </c>
      <c r="E207" s="6" t="s">
        <v>13</v>
      </c>
      <c r="F207" s="6" t="s">
        <v>13</v>
      </c>
      <c r="G207" s="6"/>
      <c r="I207">
        <f t="shared" si="13"/>
        <v>91.789001577533242</v>
      </c>
      <c r="J207">
        <f t="shared" si="14"/>
        <v>338.15</v>
      </c>
      <c r="K207">
        <f t="shared" si="15"/>
        <v>1347167.7856109464</v>
      </c>
    </row>
    <row r="208" spans="1:11">
      <c r="A208">
        <v>203</v>
      </c>
      <c r="B208">
        <v>339.15</v>
      </c>
      <c r="C208">
        <v>8.1605365052132131E-2</v>
      </c>
      <c r="D208">
        <v>13.624484925239869</v>
      </c>
      <c r="E208" s="6" t="s">
        <v>13</v>
      </c>
      <c r="F208" s="6" t="s">
        <v>13</v>
      </c>
      <c r="G208" s="6"/>
      <c r="I208">
        <f t="shared" si="13"/>
        <v>91.839463494786784</v>
      </c>
      <c r="J208">
        <f t="shared" si="14"/>
        <v>339.15</v>
      </c>
      <c r="K208">
        <f t="shared" si="15"/>
        <v>1362448.4925239868</v>
      </c>
    </row>
    <row r="209" spans="1:11">
      <c r="A209">
        <v>204</v>
      </c>
      <c r="B209">
        <v>340.15</v>
      </c>
      <c r="C209">
        <v>8.1104329154482152E-2</v>
      </c>
      <c r="D209">
        <v>13.77723704899574</v>
      </c>
      <c r="E209" s="6" t="s">
        <v>13</v>
      </c>
      <c r="F209" s="6" t="s">
        <v>13</v>
      </c>
      <c r="G209" s="6"/>
      <c r="I209">
        <f t="shared" si="13"/>
        <v>91.889567084551786</v>
      </c>
      <c r="J209">
        <f t="shared" si="14"/>
        <v>340.15</v>
      </c>
      <c r="K209">
        <f t="shared" si="15"/>
        <v>1377723.7048995739</v>
      </c>
    </row>
    <row r="210" spans="1:11">
      <c r="A210">
        <v>205</v>
      </c>
      <c r="B210">
        <v>341.15</v>
      </c>
      <c r="C210">
        <v>8.060697072173148E-2</v>
      </c>
      <c r="D210">
        <v>13.929916038464878</v>
      </c>
      <c r="E210" s="6" t="s">
        <v>13</v>
      </c>
      <c r="F210" s="6" t="s">
        <v>13</v>
      </c>
      <c r="G210" s="6"/>
      <c r="I210">
        <f t="shared" si="13"/>
        <v>91.939302927826844</v>
      </c>
      <c r="J210">
        <f t="shared" si="14"/>
        <v>341.15</v>
      </c>
      <c r="K210">
        <f t="shared" si="15"/>
        <v>1392991.6038464878</v>
      </c>
    </row>
    <row r="211" spans="1:11">
      <c r="A211">
        <v>206</v>
      </c>
      <c r="B211">
        <v>342.15</v>
      </c>
      <c r="C211">
        <v>8.0113383943894015E-2</v>
      </c>
      <c r="D211">
        <v>14.082503704735089</v>
      </c>
      <c r="E211" s="6" t="s">
        <v>13</v>
      </c>
      <c r="F211" s="6" t="s">
        <v>13</v>
      </c>
      <c r="G211" s="6"/>
      <c r="I211">
        <f t="shared" si="13"/>
        <v>91.988661605610602</v>
      </c>
      <c r="J211">
        <f t="shared" si="14"/>
        <v>342.15</v>
      </c>
      <c r="K211">
        <f t="shared" si="15"/>
        <v>1408250.370473509</v>
      </c>
    </row>
    <row r="212" spans="1:11">
      <c r="A212">
        <v>207</v>
      </c>
      <c r="B212">
        <v>343.15</v>
      </c>
      <c r="C212">
        <v>7.9623663010983656E-2</v>
      </c>
      <c r="D212">
        <v>14.234981858894175</v>
      </c>
      <c r="E212" s="6" t="s">
        <v>13</v>
      </c>
      <c r="F212" s="6" t="s">
        <v>13</v>
      </c>
      <c r="G212" s="6"/>
      <c r="I212">
        <f t="shared" si="13"/>
        <v>92.037633698901629</v>
      </c>
      <c r="J212">
        <f t="shared" si="14"/>
        <v>343.15</v>
      </c>
      <c r="K212">
        <f t="shared" si="15"/>
        <v>1423498.1858894175</v>
      </c>
    </row>
    <row r="213" spans="1:11">
      <c r="A213">
        <v>208</v>
      </c>
      <c r="B213">
        <v>344.15</v>
      </c>
      <c r="C213">
        <v>7.9137902113014288E-2</v>
      </c>
      <c r="D213">
        <v>14.387332312029939</v>
      </c>
      <c r="E213" s="6" t="s">
        <v>13</v>
      </c>
      <c r="F213" s="6" t="s">
        <v>13</v>
      </c>
      <c r="G213" s="6"/>
      <c r="I213">
        <f t="shared" si="13"/>
        <v>92.086209788698568</v>
      </c>
      <c r="J213">
        <f t="shared" si="14"/>
        <v>344.15</v>
      </c>
      <c r="K213">
        <f t="shared" si="15"/>
        <v>1438733.2312029938</v>
      </c>
    </row>
    <row r="214" spans="1:11">
      <c r="A214">
        <v>209</v>
      </c>
      <c r="B214">
        <v>345.15</v>
      </c>
      <c r="C214">
        <v>7.8656195439999771E-2</v>
      </c>
      <c r="D214">
        <v>14.539536875230185</v>
      </c>
      <c r="E214" s="6" t="s">
        <v>13</v>
      </c>
      <c r="F214" s="6" t="s">
        <v>13</v>
      </c>
      <c r="G214" s="6"/>
      <c r="I214">
        <f t="shared" si="13"/>
        <v>92.134380456000017</v>
      </c>
      <c r="J214">
        <f t="shared" si="14"/>
        <v>345.15</v>
      </c>
      <c r="K214">
        <f t="shared" si="15"/>
        <v>1453953.6875230186</v>
      </c>
    </row>
    <row r="215" spans="1:11">
      <c r="A215">
        <v>210</v>
      </c>
      <c r="B215">
        <v>346.15</v>
      </c>
      <c r="C215">
        <v>7.8178637181954017E-2</v>
      </c>
      <c r="D215">
        <v>14.691577359582723</v>
      </c>
      <c r="E215" s="6" t="s">
        <v>13</v>
      </c>
      <c r="F215" s="6" t="s">
        <v>13</v>
      </c>
      <c r="G215" s="6"/>
      <c r="I215">
        <f t="shared" si="13"/>
        <v>92.182136281804588</v>
      </c>
      <c r="J215">
        <f t="shared" si="14"/>
        <v>346.15</v>
      </c>
      <c r="K215">
        <f t="shared" si="15"/>
        <v>1469157.7359582724</v>
      </c>
    </row>
    <row r="216" spans="1:11">
      <c r="A216">
        <v>211</v>
      </c>
      <c r="B216">
        <v>347.15</v>
      </c>
      <c r="C216">
        <v>7.7705321528890911E-2</v>
      </c>
      <c r="D216">
        <v>14.84343557617535</v>
      </c>
      <c r="E216" s="6" t="s">
        <v>13</v>
      </c>
      <c r="F216" s="6" t="s">
        <v>13</v>
      </c>
      <c r="G216" s="6"/>
      <c r="I216">
        <f t="shared" si="13"/>
        <v>92.229467847110911</v>
      </c>
      <c r="J216">
        <f t="shared" si="14"/>
        <v>347.15</v>
      </c>
      <c r="K216">
        <f t="shared" si="15"/>
        <v>1484343.5576175351</v>
      </c>
    </row>
    <row r="217" spans="1:11">
      <c r="A217">
        <v>212</v>
      </c>
      <c r="B217">
        <v>348.15</v>
      </c>
      <c r="C217">
        <v>7.7236342670824326E-2</v>
      </c>
      <c r="D217">
        <v>14.99509333609587</v>
      </c>
      <c r="E217" s="6" t="s">
        <v>13</v>
      </c>
      <c r="F217" s="6" t="s">
        <v>13</v>
      </c>
      <c r="G217" s="6"/>
      <c r="I217">
        <f t="shared" si="13"/>
        <v>92.276365732917569</v>
      </c>
      <c r="J217">
        <f t="shared" si="14"/>
        <v>348.15</v>
      </c>
      <c r="K217">
        <f t="shared" si="15"/>
        <v>1499509.333609587</v>
      </c>
    </row>
    <row r="218" spans="1:11">
      <c r="A218">
        <v>213</v>
      </c>
      <c r="B218">
        <v>349.15</v>
      </c>
      <c r="C218">
        <v>7.6771794797768161E-2</v>
      </c>
      <c r="D218">
        <v>15.146532450432098</v>
      </c>
      <c r="E218" s="6" t="s">
        <v>13</v>
      </c>
      <c r="F218" s="6" t="s">
        <v>13</v>
      </c>
      <c r="G218" s="6"/>
      <c r="I218">
        <f t="shared" si="13"/>
        <v>92.322820520223175</v>
      </c>
      <c r="J218">
        <f t="shared" si="14"/>
        <v>349.15</v>
      </c>
      <c r="K218">
        <f t="shared" si="15"/>
        <v>1514653.2450432098</v>
      </c>
    </row>
    <row r="219" spans="1:11">
      <c r="A219">
        <v>214</v>
      </c>
      <c r="B219">
        <v>350.15</v>
      </c>
      <c r="C219">
        <v>7.6311772099736289E-2</v>
      </c>
      <c r="D219">
        <v>15.297734730271827</v>
      </c>
      <c r="E219" s="6" t="s">
        <v>13</v>
      </c>
      <c r="F219" s="6" t="s">
        <v>13</v>
      </c>
      <c r="G219" s="6"/>
      <c r="I219">
        <f t="shared" si="13"/>
        <v>92.368822790026371</v>
      </c>
      <c r="J219">
        <f t="shared" si="14"/>
        <v>350.15</v>
      </c>
      <c r="K219">
        <f t="shared" si="15"/>
        <v>1529773.4730271827</v>
      </c>
    </row>
    <row r="220" spans="1:11">
      <c r="A220">
        <v>215</v>
      </c>
      <c r="B220">
        <v>351.15</v>
      </c>
      <c r="C220">
        <v>7.5856368766742635E-2</v>
      </c>
      <c r="D220">
        <v>15.44868198670286</v>
      </c>
      <c r="E220" s="6" t="s">
        <v>13</v>
      </c>
      <c r="F220" s="6" t="s">
        <v>13</v>
      </c>
      <c r="G220" s="6"/>
      <c r="I220">
        <f t="shared" si="13"/>
        <v>92.414363123325742</v>
      </c>
      <c r="J220">
        <f t="shared" si="14"/>
        <v>351.15</v>
      </c>
      <c r="K220">
        <f t="shared" si="15"/>
        <v>1544868.198670286</v>
      </c>
    </row>
    <row r="221" spans="1:11">
      <c r="A221">
        <v>216</v>
      </c>
      <c r="B221">
        <v>352.15</v>
      </c>
      <c r="C221">
        <v>7.5405678988801031E-2</v>
      </c>
      <c r="D221">
        <v>15.599356030813006</v>
      </c>
      <c r="E221" s="6" t="s">
        <v>13</v>
      </c>
      <c r="F221" s="6" t="s">
        <v>13</v>
      </c>
      <c r="G221" s="6"/>
      <c r="I221">
        <f t="shared" si="13"/>
        <v>92.459432101119901</v>
      </c>
      <c r="J221">
        <f t="shared" si="14"/>
        <v>352.15</v>
      </c>
      <c r="K221">
        <f t="shared" si="15"/>
        <v>1559935.6030813006</v>
      </c>
    </row>
    <row r="222" spans="1:11">
      <c r="A222">
        <v>217</v>
      </c>
      <c r="B222">
        <v>353.15</v>
      </c>
      <c r="C222">
        <v>7.4959796955925403E-2</v>
      </c>
      <c r="D222">
        <v>15.749738673690068</v>
      </c>
      <c r="E222" s="6" t="s">
        <v>13</v>
      </c>
      <c r="F222" s="6" t="s">
        <v>13</v>
      </c>
      <c r="G222" s="6"/>
      <c r="I222">
        <f t="shared" si="13"/>
        <v>92.504020304407462</v>
      </c>
      <c r="J222">
        <f t="shared" si="14"/>
        <v>353.15</v>
      </c>
      <c r="K222">
        <f t="shared" si="15"/>
        <v>1574973.8673690069</v>
      </c>
    </row>
    <row r="223" spans="1:11">
      <c r="A223">
        <v>218</v>
      </c>
      <c r="B223">
        <v>354.15</v>
      </c>
      <c r="C223">
        <v>7.4518816858129611E-2</v>
      </c>
      <c r="D223">
        <v>15.899811726421849</v>
      </c>
      <c r="E223" s="6" t="s">
        <v>13</v>
      </c>
      <c r="F223" s="6" t="s">
        <v>13</v>
      </c>
      <c r="G223" s="6"/>
      <c r="I223">
        <f t="shared" si="13"/>
        <v>92.548118314187036</v>
      </c>
      <c r="J223">
        <f t="shared" si="14"/>
        <v>354.15</v>
      </c>
      <c r="K223">
        <f t="shared" si="15"/>
        <v>1589981.1726421849</v>
      </c>
    </row>
    <row r="224" spans="1:11">
      <c r="A224">
        <v>219</v>
      </c>
      <c r="B224">
        <v>355.15</v>
      </c>
      <c r="C224">
        <v>7.4082832885427566E-2</v>
      </c>
      <c r="D224">
        <v>16.049557000096158</v>
      </c>
      <c r="E224" s="6" t="s">
        <v>13</v>
      </c>
      <c r="F224" s="6" t="s">
        <v>13</v>
      </c>
      <c r="G224" s="6"/>
      <c r="I224">
        <f t="shared" si="13"/>
        <v>92.591716711457238</v>
      </c>
      <c r="J224">
        <f t="shared" si="14"/>
        <v>355.15</v>
      </c>
      <c r="K224">
        <f t="shared" si="15"/>
        <v>1604955.7000096159</v>
      </c>
    </row>
    <row r="225" spans="1:11">
      <c r="A225">
        <v>220</v>
      </c>
      <c r="B225">
        <v>356.15</v>
      </c>
      <c r="C225">
        <v>7.3651939227833155E-2</v>
      </c>
      <c r="D225">
        <v>16.198956305800792</v>
      </c>
      <c r="E225" s="6" t="s">
        <v>13</v>
      </c>
      <c r="F225" s="6" t="s">
        <v>13</v>
      </c>
      <c r="G225" s="6"/>
      <c r="I225">
        <f t="shared" si="13"/>
        <v>92.63480607721668</v>
      </c>
      <c r="J225">
        <f t="shared" si="14"/>
        <v>356.15</v>
      </c>
      <c r="K225">
        <f t="shared" si="15"/>
        <v>1619895.6305800793</v>
      </c>
    </row>
    <row r="226" spans="1:11">
      <c r="A226">
        <v>221</v>
      </c>
      <c r="B226">
        <v>357.15</v>
      </c>
      <c r="C226">
        <v>7.3226230075360249E-2</v>
      </c>
      <c r="D226">
        <v>16.347991454623557</v>
      </c>
      <c r="E226" s="6" t="s">
        <v>13</v>
      </c>
      <c r="F226" s="6" t="s">
        <v>13</v>
      </c>
      <c r="G226" s="6"/>
      <c r="I226">
        <f t="shared" si="13"/>
        <v>92.677376992463977</v>
      </c>
      <c r="J226">
        <f t="shared" si="14"/>
        <v>357.15</v>
      </c>
      <c r="K226">
        <f t="shared" si="15"/>
        <v>1634799.1454623558</v>
      </c>
    </row>
    <row r="227" spans="1:11">
      <c r="A227">
        <v>222</v>
      </c>
      <c r="B227">
        <v>358.15</v>
      </c>
      <c r="C227">
        <v>7.2805799618022748E-2</v>
      </c>
      <c r="D227">
        <v>16.49664425765226</v>
      </c>
      <c r="E227" s="6" t="s">
        <v>13</v>
      </c>
      <c r="F227" s="6" t="s">
        <v>13</v>
      </c>
      <c r="G227" s="6"/>
      <c r="I227">
        <f t="shared" si="13"/>
        <v>92.719420038197725</v>
      </c>
      <c r="J227">
        <f t="shared" si="14"/>
        <v>358.15</v>
      </c>
      <c r="K227">
        <f t="shared" si="15"/>
        <v>1649664.4257652261</v>
      </c>
    </row>
    <row r="228" spans="1:11">
      <c r="A228">
        <v>223</v>
      </c>
      <c r="B228">
        <v>359.15</v>
      </c>
      <c r="C228">
        <v>7.2390742045834525E-2</v>
      </c>
      <c r="D228">
        <v>16.644896525974701</v>
      </c>
      <c r="E228" s="6" t="s">
        <v>13</v>
      </c>
      <c r="F228" s="6" t="s">
        <v>13</v>
      </c>
      <c r="G228" s="6"/>
      <c r="I228">
        <f t="shared" si="13"/>
        <v>92.760925795416554</v>
      </c>
      <c r="J228">
        <f t="shared" si="14"/>
        <v>359.15</v>
      </c>
      <c r="K228">
        <f t="shared" si="15"/>
        <v>1664489.6525974702</v>
      </c>
    </row>
    <row r="229" spans="1:11">
      <c r="A229">
        <v>224</v>
      </c>
      <c r="B229">
        <v>360.15</v>
      </c>
      <c r="C229">
        <v>7.1981151548809463E-2</v>
      </c>
      <c r="D229">
        <v>16.792730070678683</v>
      </c>
      <c r="E229" s="6" t="s">
        <v>13</v>
      </c>
      <c r="F229" s="6" t="s">
        <v>13</v>
      </c>
      <c r="G229" s="6"/>
      <c r="I229">
        <f t="shared" si="13"/>
        <v>92.801884845119048</v>
      </c>
      <c r="J229">
        <f t="shared" si="14"/>
        <v>360.15</v>
      </c>
      <c r="K229">
        <f t="shared" si="15"/>
        <v>1679273.0070678683</v>
      </c>
    </row>
    <row r="230" spans="1:11">
      <c r="A230">
        <v>225</v>
      </c>
      <c r="B230">
        <v>361.15</v>
      </c>
      <c r="C230">
        <v>7.1577122316961478E-2</v>
      </c>
      <c r="D230">
        <v>16.940126702852019</v>
      </c>
      <c r="E230" s="6" t="s">
        <v>13</v>
      </c>
      <c r="F230" s="6" t="s">
        <v>13</v>
      </c>
      <c r="G230" s="6"/>
      <c r="I230">
        <f t="shared" si="13"/>
        <v>92.842287768303862</v>
      </c>
      <c r="J230">
        <f t="shared" si="14"/>
        <v>361.15</v>
      </c>
      <c r="K230">
        <f t="shared" si="15"/>
        <v>1694012.6702852019</v>
      </c>
    </row>
    <row r="231" spans="1:11">
      <c r="A231">
        <v>226</v>
      </c>
      <c r="B231">
        <v>362.15</v>
      </c>
      <c r="C231">
        <v>7.1178748540304454E-2</v>
      </c>
      <c r="D231">
        <v>17.087068233582503</v>
      </c>
      <c r="E231" s="6" t="s">
        <v>13</v>
      </c>
      <c r="F231" s="6" t="s">
        <v>13</v>
      </c>
      <c r="G231" s="6"/>
      <c r="I231">
        <f t="shared" si="13"/>
        <v>92.882125145969553</v>
      </c>
      <c r="J231">
        <f t="shared" si="14"/>
        <v>362.15</v>
      </c>
      <c r="K231">
        <f t="shared" si="15"/>
        <v>1708706.8233582503</v>
      </c>
    </row>
    <row r="232" spans="1:11">
      <c r="A232">
        <v>227</v>
      </c>
      <c r="B232">
        <v>363.15</v>
      </c>
      <c r="C232">
        <v>7.0786124408852236E-2</v>
      </c>
      <c r="D232">
        <v>17.233536473957944</v>
      </c>
      <c r="E232" s="6" t="s">
        <v>13</v>
      </c>
      <c r="F232" s="6" t="s">
        <v>13</v>
      </c>
      <c r="G232" s="6"/>
      <c r="I232">
        <f t="shared" si="13"/>
        <v>92.921387559114777</v>
      </c>
      <c r="J232">
        <f t="shared" si="14"/>
        <v>363.15</v>
      </c>
      <c r="K232">
        <f t="shared" si="15"/>
        <v>1723353.6473957945</v>
      </c>
    </row>
    <row r="233" spans="1:11">
      <c r="A233">
        <v>228</v>
      </c>
      <c r="B233">
        <v>364.15</v>
      </c>
      <c r="C233">
        <v>7.0399344112618736E-2</v>
      </c>
      <c r="D233">
        <v>17.379513235066142</v>
      </c>
      <c r="E233" s="6" t="s">
        <v>13</v>
      </c>
      <c r="F233" s="6" t="s">
        <v>13</v>
      </c>
      <c r="G233" s="6"/>
      <c r="I233">
        <f t="shared" si="13"/>
        <v>92.960065588738132</v>
      </c>
      <c r="J233">
        <f t="shared" si="14"/>
        <v>364.15</v>
      </c>
      <c r="K233">
        <f t="shared" si="15"/>
        <v>1737951.3235066142</v>
      </c>
    </row>
    <row r="234" spans="1:11">
      <c r="A234">
        <v>229</v>
      </c>
      <c r="B234">
        <v>365.15</v>
      </c>
      <c r="C234">
        <v>7.0018501841617856E-2</v>
      </c>
      <c r="D234">
        <v>17.524980327994911</v>
      </c>
      <c r="E234" s="6" t="s">
        <v>13</v>
      </c>
      <c r="F234" s="6" t="s">
        <v>13</v>
      </c>
      <c r="G234" s="6"/>
      <c r="I234">
        <f t="shared" si="13"/>
        <v>92.998149815838218</v>
      </c>
      <c r="J234">
        <f t="shared" si="14"/>
        <v>365.15</v>
      </c>
      <c r="K234">
        <f t="shared" si="15"/>
        <v>1752498.032799491</v>
      </c>
    </row>
    <row r="235" spans="1:11">
      <c r="A235">
        <v>230</v>
      </c>
      <c r="B235">
        <v>366.15</v>
      </c>
      <c r="C235">
        <v>6.9643691785863451E-2</v>
      </c>
      <c r="D235">
        <v>17.669919563832043</v>
      </c>
      <c r="E235" s="6" t="s">
        <v>13</v>
      </c>
      <c r="F235" s="6" t="s">
        <v>13</v>
      </c>
      <c r="G235" s="6"/>
      <c r="I235">
        <f t="shared" si="13"/>
        <v>93.035630821413648</v>
      </c>
      <c r="J235">
        <f t="shared" si="14"/>
        <v>366.15</v>
      </c>
      <c r="K235">
        <f t="shared" si="15"/>
        <v>1766991.9563832043</v>
      </c>
    </row>
    <row r="236" spans="1:11">
      <c r="A236">
        <v>231</v>
      </c>
      <c r="B236">
        <v>367.15</v>
      </c>
      <c r="C236">
        <v>6.9275008135369451E-2</v>
      </c>
      <c r="D236">
        <v>17.814312753665348</v>
      </c>
      <c r="E236" s="6" t="s">
        <v>13</v>
      </c>
      <c r="F236" s="6" t="s">
        <v>13</v>
      </c>
      <c r="G236" s="6"/>
      <c r="I236">
        <f t="shared" si="13"/>
        <v>93.072499186463048</v>
      </c>
      <c r="J236">
        <f t="shared" si="14"/>
        <v>367.15</v>
      </c>
      <c r="K236">
        <f t="shared" si="15"/>
        <v>1781431.2753665347</v>
      </c>
    </row>
    <row r="237" spans="1:11">
      <c r="A237">
        <v>232</v>
      </c>
      <c r="B237">
        <v>368.15</v>
      </c>
      <c r="C237">
        <v>6.8912545080149712E-2</v>
      </c>
      <c r="D237">
        <v>17.95814170858263</v>
      </c>
      <c r="E237" s="6" t="s">
        <v>13</v>
      </c>
      <c r="F237" s="6" t="s">
        <v>13</v>
      </c>
      <c r="G237" s="6"/>
      <c r="I237">
        <f t="shared" si="13"/>
        <v>93.108745491985019</v>
      </c>
      <c r="J237">
        <f t="shared" si="14"/>
        <v>368.15</v>
      </c>
      <c r="K237">
        <f t="shared" si="15"/>
        <v>1795814.170858263</v>
      </c>
    </row>
    <row r="238" spans="1:11">
      <c r="A238">
        <v>233</v>
      </c>
      <c r="B238">
        <v>369.15</v>
      </c>
      <c r="C238">
        <v>6.8556396810218134E-2</v>
      </c>
      <c r="D238">
        <v>18.101388239671692</v>
      </c>
      <c r="E238" s="6" t="s">
        <v>13</v>
      </c>
      <c r="F238" s="6" t="s">
        <v>13</v>
      </c>
      <c r="G238" s="6"/>
      <c r="I238">
        <f t="shared" si="13"/>
        <v>93.144360318978187</v>
      </c>
      <c r="J238">
        <f t="shared" si="14"/>
        <v>369.15</v>
      </c>
      <c r="K238">
        <f t="shared" si="15"/>
        <v>1810138.8239671693</v>
      </c>
    </row>
    <row r="239" spans="1:11">
      <c r="A239">
        <v>234</v>
      </c>
      <c r="B239">
        <v>370.15</v>
      </c>
      <c r="C239">
        <v>6.8206657515588576E-2</v>
      </c>
      <c r="D239">
        <v>18.244034158020334</v>
      </c>
      <c r="E239" s="6" t="s">
        <v>13</v>
      </c>
      <c r="F239" s="6" t="s">
        <v>13</v>
      </c>
      <c r="G239" s="6"/>
      <c r="I239">
        <f t="shared" si="13"/>
        <v>93.179334248441137</v>
      </c>
      <c r="J239">
        <f t="shared" si="14"/>
        <v>370.15</v>
      </c>
      <c r="K239">
        <f t="shared" si="15"/>
        <v>1824403.4158020334</v>
      </c>
    </row>
    <row r="240" spans="1:11">
      <c r="A240">
        <v>235</v>
      </c>
      <c r="B240">
        <v>371.15</v>
      </c>
      <c r="C240">
        <v>6.786342138627495E-2</v>
      </c>
      <c r="D240">
        <v>18.386061274716365</v>
      </c>
      <c r="E240" s="6" t="s">
        <v>13</v>
      </c>
      <c r="F240" s="6" t="s">
        <v>13</v>
      </c>
      <c r="G240" s="6"/>
      <c r="I240">
        <f t="shared" si="13"/>
        <v>93.213657861372496</v>
      </c>
      <c r="J240">
        <f t="shared" si="14"/>
        <v>371.15</v>
      </c>
      <c r="K240">
        <f t="shared" si="15"/>
        <v>1838606.1274716365</v>
      </c>
    </row>
    <row r="241" spans="1:11">
      <c r="A241">
        <v>236</v>
      </c>
      <c r="B241">
        <v>372.15</v>
      </c>
      <c r="C241">
        <v>6.7526782612291156E-2</v>
      </c>
      <c r="D241">
        <v>18.527451400847589</v>
      </c>
      <c r="E241" s="6" t="s">
        <v>13</v>
      </c>
      <c r="F241" s="6" t="s">
        <v>13</v>
      </c>
      <c r="G241" s="6"/>
      <c r="I241">
        <f t="shared" si="13"/>
        <v>93.247321738770879</v>
      </c>
      <c r="J241">
        <f t="shared" si="14"/>
        <v>372.15</v>
      </c>
      <c r="K241">
        <f t="shared" si="15"/>
        <v>1852745.1400847589</v>
      </c>
    </row>
    <row r="242" spans="1:11">
      <c r="A242">
        <v>237</v>
      </c>
      <c r="B242">
        <v>373.15</v>
      </c>
      <c r="C242">
        <v>6.7196835383651066E-2</v>
      </c>
      <c r="D242">
        <v>18.668186347501805</v>
      </c>
      <c r="E242" s="6" t="s">
        <v>13</v>
      </c>
      <c r="F242" s="6" t="s">
        <v>13</v>
      </c>
      <c r="G242" s="6"/>
      <c r="I242">
        <f t="shared" si="13"/>
        <v>93.280316461634897</v>
      </c>
      <c r="J242">
        <f t="shared" si="14"/>
        <v>373.15</v>
      </c>
      <c r="K242">
        <f t="shared" si="15"/>
        <v>1866818.6347501806</v>
      </c>
    </row>
    <row r="243" spans="1:11">
      <c r="A243">
        <v>238</v>
      </c>
      <c r="B243">
        <v>374.15</v>
      </c>
      <c r="C243">
        <v>6.6873673890368551E-2</v>
      </c>
      <c r="D243">
        <v>18.808247925766828</v>
      </c>
      <c r="E243" s="6" t="s">
        <v>13</v>
      </c>
      <c r="F243" s="6" t="s">
        <v>13</v>
      </c>
      <c r="G243" s="6"/>
      <c r="I243">
        <f t="shared" si="13"/>
        <v>93.312632610963135</v>
      </c>
      <c r="J243">
        <f t="shared" si="14"/>
        <v>374.15</v>
      </c>
      <c r="K243">
        <f t="shared" si="15"/>
        <v>1880824.7925766828</v>
      </c>
    </row>
    <row r="244" spans="1:11">
      <c r="A244">
        <v>239</v>
      </c>
      <c r="B244">
        <v>375.15</v>
      </c>
      <c r="C244">
        <v>6.6557392322457498E-2</v>
      </c>
      <c r="D244">
        <v>18.947617946730457</v>
      </c>
      <c r="E244" s="6" t="s">
        <v>13</v>
      </c>
      <c r="F244" s="6" t="s">
        <v>13</v>
      </c>
      <c r="G244" s="6"/>
      <c r="I244">
        <f t="shared" si="13"/>
        <v>93.34426076775425</v>
      </c>
      <c r="J244">
        <f t="shared" si="14"/>
        <v>375.15</v>
      </c>
      <c r="K244">
        <f t="shared" si="15"/>
        <v>1894761.7946730456</v>
      </c>
    </row>
    <row r="245" spans="1:11">
      <c r="A245">
        <v>240</v>
      </c>
      <c r="B245">
        <v>376.15</v>
      </c>
      <c r="C245">
        <v>6.6248084869931834E-2</v>
      </c>
      <c r="D245">
        <v>19.086278221480484</v>
      </c>
      <c r="E245" s="6" t="s">
        <v>13</v>
      </c>
      <c r="F245" s="6" t="s">
        <v>13</v>
      </c>
      <c r="G245" s="6"/>
      <c r="I245">
        <f t="shared" si="13"/>
        <v>93.375191513006811</v>
      </c>
      <c r="J245">
        <f t="shared" si="14"/>
        <v>376.15</v>
      </c>
      <c r="K245">
        <f t="shared" si="15"/>
        <v>1908627.8221480483</v>
      </c>
    </row>
    <row r="246" spans="1:11">
      <c r="A246">
        <v>241</v>
      </c>
      <c r="B246">
        <v>377.15</v>
      </c>
      <c r="C246">
        <v>6.5945845722805402E-2</v>
      </c>
      <c r="D246">
        <v>19.224210561104734</v>
      </c>
      <c r="E246" s="6" t="s">
        <v>13</v>
      </c>
      <c r="F246" s="6" t="s">
        <v>13</v>
      </c>
      <c r="G246" s="6"/>
      <c r="I246">
        <f t="shared" si="13"/>
        <v>93.405415427719461</v>
      </c>
      <c r="J246">
        <f t="shared" si="14"/>
        <v>377.15</v>
      </c>
      <c r="K246">
        <f t="shared" si="15"/>
        <v>1922421.0561104733</v>
      </c>
    </row>
    <row r="247" spans="1:11">
      <c r="A247">
        <v>242</v>
      </c>
      <c r="B247">
        <v>378.15</v>
      </c>
      <c r="C247">
        <v>6.5650769071092116E-2</v>
      </c>
      <c r="D247">
        <v>19.361396776690992</v>
      </c>
      <c r="E247" s="6" t="s">
        <v>13</v>
      </c>
      <c r="F247" s="6" t="s">
        <v>13</v>
      </c>
      <c r="G247" s="6"/>
      <c r="I247">
        <f t="shared" si="13"/>
        <v>93.434923092890784</v>
      </c>
      <c r="J247">
        <f t="shared" si="14"/>
        <v>378.15</v>
      </c>
      <c r="K247">
        <f t="shared" si="15"/>
        <v>1936139.6776690991</v>
      </c>
    </row>
    <row r="248" spans="1:11">
      <c r="A248">
        <v>243</v>
      </c>
      <c r="B248">
        <v>379.15</v>
      </c>
      <c r="C248">
        <v>6.5362949104805848E-2</v>
      </c>
      <c r="D248">
        <v>19.497818679327068</v>
      </c>
      <c r="E248" s="6" t="s">
        <v>13</v>
      </c>
      <c r="F248" s="6" t="s">
        <v>13</v>
      </c>
      <c r="G248" s="6"/>
      <c r="I248">
        <f t="shared" si="13"/>
        <v>93.463705089519408</v>
      </c>
      <c r="J248">
        <f t="shared" si="14"/>
        <v>379.15</v>
      </c>
      <c r="K248">
        <f t="shared" si="15"/>
        <v>1949781.8679327068</v>
      </c>
    </row>
    <row r="249" spans="1:11">
      <c r="A249">
        <v>244</v>
      </c>
      <c r="B249">
        <v>380.15</v>
      </c>
      <c r="C249">
        <v>6.5082480013960498E-2</v>
      </c>
      <c r="D249">
        <v>19.633458080100777</v>
      </c>
      <c r="E249" s="6" t="s">
        <v>13</v>
      </c>
      <c r="F249" s="6" t="s">
        <v>13</v>
      </c>
      <c r="G249" s="6"/>
      <c r="I249">
        <f t="shared" si="13"/>
        <v>93.491751998603959</v>
      </c>
      <c r="J249">
        <f t="shared" si="14"/>
        <v>380.15</v>
      </c>
      <c r="K249">
        <f t="shared" si="15"/>
        <v>1963345.8080100776</v>
      </c>
    </row>
    <row r="250" spans="1:11">
      <c r="A250">
        <v>245</v>
      </c>
      <c r="B250">
        <v>381.15</v>
      </c>
      <c r="C250">
        <v>6.4809455988569936E-2</v>
      </c>
      <c r="D250">
        <v>19.76829679009991</v>
      </c>
      <c r="E250" s="6" t="s">
        <v>13</v>
      </c>
      <c r="F250" s="6" t="s">
        <v>13</v>
      </c>
      <c r="G250" s="6"/>
      <c r="I250">
        <f t="shared" si="13"/>
        <v>93.519054401143009</v>
      </c>
      <c r="J250">
        <f t="shared" si="14"/>
        <v>381.15</v>
      </c>
      <c r="K250">
        <f t="shared" si="15"/>
        <v>1976829.679009991</v>
      </c>
    </row>
    <row r="251" spans="1:11">
      <c r="A251">
        <v>246</v>
      </c>
      <c r="B251">
        <v>382.15</v>
      </c>
      <c r="C251">
        <v>6.4543971218648064E-2</v>
      </c>
      <c r="D251">
        <v>19.902316620412275</v>
      </c>
      <c r="E251" s="6" t="s">
        <v>13</v>
      </c>
      <c r="F251" s="6" t="s">
        <v>13</v>
      </c>
      <c r="G251" s="6"/>
      <c r="I251">
        <f t="shared" si="13"/>
        <v>93.545602878135199</v>
      </c>
      <c r="J251">
        <f t="shared" si="14"/>
        <v>382.15</v>
      </c>
      <c r="K251">
        <f t="shared" si="15"/>
        <v>1990231.6620412276</v>
      </c>
    </row>
    <row r="252" spans="1:11">
      <c r="A252">
        <v>247</v>
      </c>
      <c r="B252">
        <v>383.15</v>
      </c>
      <c r="C252">
        <v>6.4286119894208765E-2</v>
      </c>
      <c r="D252">
        <v>20.035499382125678</v>
      </c>
      <c r="E252" s="6" t="s">
        <v>13</v>
      </c>
      <c r="F252" s="6" t="s">
        <v>13</v>
      </c>
      <c r="G252" s="6"/>
      <c r="I252">
        <f t="shared" si="13"/>
        <v>93.571388010579128</v>
      </c>
      <c r="J252">
        <f t="shared" si="14"/>
        <v>383.15</v>
      </c>
      <c r="K252">
        <f t="shared" si="15"/>
        <v>2003549.9382125679</v>
      </c>
    </row>
    <row r="253" spans="1:11">
      <c r="A253">
        <v>248</v>
      </c>
      <c r="B253">
        <v>384.15</v>
      </c>
      <c r="C253">
        <v>6.4035996205265927E-2</v>
      </c>
      <c r="D253">
        <v>20.167826886327916</v>
      </c>
      <c r="E253" s="6" t="s">
        <v>13</v>
      </c>
      <c r="F253" s="6" t="s">
        <v>13</v>
      </c>
      <c r="G253" s="6"/>
      <c r="I253">
        <f t="shared" si="13"/>
        <v>93.596400379473408</v>
      </c>
      <c r="J253">
        <f t="shared" si="14"/>
        <v>384.15</v>
      </c>
      <c r="K253">
        <f t="shared" si="15"/>
        <v>2016782.6886327916</v>
      </c>
    </row>
    <row r="254" spans="1:11">
      <c r="A254">
        <v>249</v>
      </c>
      <c r="B254">
        <v>385.15</v>
      </c>
      <c r="C254">
        <v>6.3793694341833435E-2</v>
      </c>
      <c r="D254">
        <v>20.299280944106798</v>
      </c>
      <c r="E254" s="6" t="s">
        <v>13</v>
      </c>
      <c r="F254" s="6" t="s">
        <v>13</v>
      </c>
      <c r="G254" s="6"/>
      <c r="I254">
        <f t="shared" si="13"/>
        <v>93.620630565816654</v>
      </c>
      <c r="J254">
        <f t="shared" si="14"/>
        <v>385.15</v>
      </c>
      <c r="K254">
        <f t="shared" si="15"/>
        <v>2029928.0944106798</v>
      </c>
    </row>
    <row r="255" spans="1:11">
      <c r="A255">
        <v>250</v>
      </c>
      <c r="B255">
        <v>386.15</v>
      </c>
      <c r="C255">
        <v>6.355930849392516E-2</v>
      </c>
      <c r="D255">
        <v>20.429843366550131</v>
      </c>
      <c r="E255" s="6" t="s">
        <v>13</v>
      </c>
      <c r="F255" s="6" t="s">
        <v>13</v>
      </c>
      <c r="G255" s="6"/>
      <c r="I255">
        <f t="shared" si="13"/>
        <v>93.644069150607478</v>
      </c>
      <c r="J255">
        <f t="shared" si="14"/>
        <v>386.15</v>
      </c>
      <c r="K255">
        <f t="shared" si="15"/>
        <v>2042984.336655013</v>
      </c>
    </row>
    <row r="256" spans="1:11">
      <c r="A256">
        <v>251</v>
      </c>
      <c r="B256">
        <v>387.15</v>
      </c>
      <c r="C256">
        <v>6.3332932851555016E-2</v>
      </c>
      <c r="D256">
        <v>20.559495964745722</v>
      </c>
      <c r="E256" s="6" t="s">
        <v>13</v>
      </c>
      <c r="F256" s="6" t="s">
        <v>13</v>
      </c>
      <c r="G256" s="6"/>
      <c r="I256">
        <f t="shared" si="13"/>
        <v>93.666706714844494</v>
      </c>
      <c r="J256">
        <f t="shared" si="14"/>
        <v>387.15</v>
      </c>
      <c r="K256">
        <f t="shared" si="15"/>
        <v>2055949.5964745721</v>
      </c>
    </row>
    <row r="257" spans="1:11">
      <c r="A257">
        <v>252</v>
      </c>
      <c r="B257">
        <v>388.15</v>
      </c>
      <c r="C257">
        <v>6.311466160473686E-2</v>
      </c>
      <c r="D257">
        <v>20.688220549781363</v>
      </c>
      <c r="E257" s="6" t="s">
        <v>13</v>
      </c>
      <c r="F257" s="6" t="s">
        <v>13</v>
      </c>
      <c r="G257" s="6"/>
      <c r="I257">
        <f t="shared" si="13"/>
        <v>93.688533839526315</v>
      </c>
      <c r="J257">
        <f t="shared" si="14"/>
        <v>388.15</v>
      </c>
      <c r="K257">
        <f t="shared" si="15"/>
        <v>2068822.0549781362</v>
      </c>
    </row>
    <row r="258" spans="1:11">
      <c r="A258">
        <v>253</v>
      </c>
      <c r="B258">
        <v>389.15</v>
      </c>
      <c r="C258">
        <v>6.2904588943484607E-2</v>
      </c>
      <c r="D258">
        <v>20.815998932744861</v>
      </c>
      <c r="E258" s="6" t="s">
        <v>13</v>
      </c>
      <c r="F258" s="6" t="s">
        <v>13</v>
      </c>
      <c r="G258" s="6"/>
      <c r="I258">
        <f t="shared" si="13"/>
        <v>93.709541105651539</v>
      </c>
      <c r="J258">
        <f t="shared" si="14"/>
        <v>389.15</v>
      </c>
      <c r="K258">
        <f t="shared" si="15"/>
        <v>2081599.8932744861</v>
      </c>
    </row>
    <row r="259" spans="1:11">
      <c r="A259">
        <v>254</v>
      </c>
      <c r="B259">
        <v>390.15</v>
      </c>
      <c r="C259">
        <v>6.2702809057812142E-2</v>
      </c>
      <c r="D259">
        <v>20.942812924724027</v>
      </c>
      <c r="E259" s="6" t="s">
        <v>13</v>
      </c>
      <c r="F259" s="6" t="s">
        <v>13</v>
      </c>
      <c r="G259" s="6"/>
      <c r="I259">
        <f t="shared" si="13"/>
        <v>93.729719094218794</v>
      </c>
      <c r="J259">
        <f t="shared" si="14"/>
        <v>390.15</v>
      </c>
      <c r="K259">
        <f t="shared" si="15"/>
        <v>2094281.2924724028</v>
      </c>
    </row>
    <row r="260" spans="1:11">
      <c r="A260">
        <v>255</v>
      </c>
      <c r="B260">
        <v>391.15</v>
      </c>
      <c r="C260">
        <v>6.2509416137733337E-2</v>
      </c>
      <c r="D260">
        <v>21.068644336806663</v>
      </c>
      <c r="E260" s="6" t="s">
        <v>13</v>
      </c>
      <c r="F260" s="6" t="s">
        <v>13</v>
      </c>
      <c r="G260" s="6"/>
      <c r="I260">
        <f t="shared" si="13"/>
        <v>93.749058386226665</v>
      </c>
      <c r="J260">
        <f t="shared" si="14"/>
        <v>391.15</v>
      </c>
      <c r="K260">
        <f t="shared" si="15"/>
        <v>2106864.4336806661</v>
      </c>
    </row>
    <row r="261" spans="1:11">
      <c r="A261">
        <v>256</v>
      </c>
      <c r="B261">
        <v>392.15</v>
      </c>
      <c r="C261">
        <v>6.2324504373262091E-2</v>
      </c>
      <c r="D261">
        <v>21.193474980080566</v>
      </c>
      <c r="E261" s="6" t="s">
        <v>13</v>
      </c>
      <c r="F261" s="6" t="s">
        <v>13</v>
      </c>
      <c r="G261" s="6"/>
      <c r="I261">
        <f t="shared" si="13"/>
        <v>93.767549562673793</v>
      </c>
      <c r="J261">
        <f t="shared" si="14"/>
        <v>392.15</v>
      </c>
      <c r="K261">
        <f t="shared" si="15"/>
        <v>2119347.4980080565</v>
      </c>
    </row>
    <row r="262" spans="1:11">
      <c r="A262">
        <v>257</v>
      </c>
      <c r="B262">
        <v>393.15</v>
      </c>
      <c r="C262">
        <v>6.2148167954412276E-2</v>
      </c>
      <c r="D262">
        <v>21.317286665633549</v>
      </c>
      <c r="E262" s="6" t="s">
        <v>13</v>
      </c>
      <c r="F262" s="6" t="s">
        <v>13</v>
      </c>
      <c r="G262" s="6"/>
      <c r="I262">
        <f t="shared" si="13"/>
        <v>93.785183204558777</v>
      </c>
      <c r="J262">
        <f t="shared" si="14"/>
        <v>393.15</v>
      </c>
      <c r="K262">
        <f t="shared" si="15"/>
        <v>2131728.6665633549</v>
      </c>
    </row>
    <row r="263" spans="1:11">
      <c r="A263">
        <v>258</v>
      </c>
      <c r="B263">
        <v>394.15</v>
      </c>
      <c r="C263">
        <v>6.1980501071197798E-2</v>
      </c>
      <c r="D263">
        <v>21.440061204553412</v>
      </c>
      <c r="E263" s="6" t="s">
        <v>13</v>
      </c>
      <c r="F263" s="6" t="s">
        <v>13</v>
      </c>
      <c r="G263" s="6"/>
      <c r="I263">
        <f t="shared" ref="I263:I326" si="16">(1-C263)*100</f>
        <v>93.801949892880216</v>
      </c>
      <c r="J263">
        <f t="shared" ref="J263:J326" si="17">B263</f>
        <v>394.15</v>
      </c>
      <c r="K263">
        <f t="shared" ref="K263:K326" si="18">D263*100000</f>
        <v>2144006.1204553414</v>
      </c>
    </row>
    <row r="264" spans="1:11">
      <c r="A264">
        <v>259</v>
      </c>
      <c r="B264">
        <v>395.15</v>
      </c>
      <c r="C264">
        <v>6.1821597913632523E-2</v>
      </c>
      <c r="D264">
        <v>21.561780407927962</v>
      </c>
      <c r="E264" s="6" t="s">
        <v>13</v>
      </c>
      <c r="F264" s="6" t="s">
        <v>13</v>
      </c>
      <c r="G264" s="6"/>
      <c r="I264">
        <f t="shared" si="16"/>
        <v>93.817840208636753</v>
      </c>
      <c r="J264">
        <f t="shared" si="17"/>
        <v>395.15</v>
      </c>
      <c r="K264">
        <f t="shared" si="18"/>
        <v>2156178.0407927963</v>
      </c>
    </row>
    <row r="265" spans="1:11">
      <c r="A265">
        <v>260</v>
      </c>
      <c r="B265">
        <v>396.15</v>
      </c>
      <c r="C265">
        <v>6.1671552671730356E-2</v>
      </c>
      <c r="D265">
        <v>21.682426086844991</v>
      </c>
      <c r="E265" s="6" t="s">
        <v>13</v>
      </c>
      <c r="F265" s="6" t="s">
        <v>13</v>
      </c>
      <c r="G265" s="6"/>
      <c r="I265">
        <f t="shared" si="16"/>
        <v>93.832844732826956</v>
      </c>
      <c r="J265">
        <f t="shared" si="17"/>
        <v>396.15</v>
      </c>
      <c r="K265">
        <f t="shared" si="18"/>
        <v>2168242.6086844993</v>
      </c>
    </row>
    <row r="266" spans="1:11">
      <c r="A266">
        <v>261</v>
      </c>
      <c r="B266">
        <v>397.15</v>
      </c>
      <c r="C266">
        <v>6.1530459535505164E-2</v>
      </c>
      <c r="D266">
        <v>21.80198005239232</v>
      </c>
      <c r="E266" s="6" t="s">
        <v>13</v>
      </c>
      <c r="F266" s="6" t="s">
        <v>13</v>
      </c>
      <c r="G266" s="6"/>
      <c r="I266">
        <f t="shared" si="16"/>
        <v>93.846954046449483</v>
      </c>
      <c r="J266">
        <f t="shared" si="17"/>
        <v>397.15</v>
      </c>
      <c r="K266">
        <f t="shared" si="18"/>
        <v>2180198.005239232</v>
      </c>
    </row>
    <row r="267" spans="1:11">
      <c r="A267">
        <v>262</v>
      </c>
      <c r="B267">
        <v>398.15</v>
      </c>
      <c r="C267">
        <v>6.1398412694970865E-2</v>
      </c>
      <c r="D267">
        <v>21.920424115657745</v>
      </c>
      <c r="E267" s="6" t="s">
        <v>13</v>
      </c>
      <c r="F267" s="6" t="s">
        <v>13</v>
      </c>
      <c r="G267" s="6"/>
      <c r="I267">
        <f t="shared" si="16"/>
        <v>93.860158730502917</v>
      </c>
      <c r="J267">
        <f t="shared" si="17"/>
        <v>398.15</v>
      </c>
      <c r="K267">
        <f t="shared" si="18"/>
        <v>2192042.4115657746</v>
      </c>
    </row>
    <row r="268" spans="1:11">
      <c r="A268">
        <v>263</v>
      </c>
      <c r="B268">
        <v>399.15</v>
      </c>
      <c r="C268">
        <v>6.1275506340141311E-2</v>
      </c>
      <c r="D268">
        <v>22.037740087729066</v>
      </c>
      <c r="E268" s="6" t="s">
        <v>13</v>
      </c>
      <c r="F268" s="6" t="s">
        <v>13</v>
      </c>
      <c r="G268" s="6"/>
      <c r="I268">
        <f t="shared" si="16"/>
        <v>93.872449365985872</v>
      </c>
      <c r="J268">
        <f t="shared" si="17"/>
        <v>399.15</v>
      </c>
      <c r="K268">
        <f t="shared" si="18"/>
        <v>2203774.0087729064</v>
      </c>
    </row>
    <row r="269" spans="1:11">
      <c r="A269">
        <v>264</v>
      </c>
      <c r="B269">
        <v>400.15</v>
      </c>
      <c r="C269">
        <v>6.1161834661030423E-2</v>
      </c>
      <c r="D269">
        <v>22.153909779694096</v>
      </c>
      <c r="E269" s="6" t="s">
        <v>13</v>
      </c>
      <c r="F269" s="6" t="s">
        <v>13</v>
      </c>
      <c r="G269" s="6"/>
      <c r="I269">
        <f t="shared" si="16"/>
        <v>93.883816533896962</v>
      </c>
      <c r="J269">
        <f t="shared" si="17"/>
        <v>400.15</v>
      </c>
      <c r="K269">
        <f t="shared" si="18"/>
        <v>2215390.9779694094</v>
      </c>
    </row>
    <row r="270" spans="1:11">
      <c r="A270">
        <v>265</v>
      </c>
      <c r="B270">
        <v>401.15</v>
      </c>
      <c r="C270">
        <v>6.1057491847652051E-2</v>
      </c>
      <c r="D270">
        <v>22.268915002640632</v>
      </c>
      <c r="E270" s="6" t="s">
        <v>13</v>
      </c>
      <c r="F270" s="6" t="s">
        <v>13</v>
      </c>
      <c r="G270" s="6"/>
      <c r="I270">
        <f t="shared" si="16"/>
        <v>93.894250815234798</v>
      </c>
      <c r="J270">
        <f t="shared" si="17"/>
        <v>401.15</v>
      </c>
      <c r="K270">
        <f t="shared" si="18"/>
        <v>2226891.500264063</v>
      </c>
    </row>
    <row r="271" spans="1:11">
      <c r="A271">
        <v>266</v>
      </c>
      <c r="B271">
        <v>265.14999999999998</v>
      </c>
      <c r="C271">
        <v>0.20617596602717553</v>
      </c>
      <c r="D271">
        <v>4.5141106371228217</v>
      </c>
      <c r="E271" s="6" t="s">
        <v>13</v>
      </c>
      <c r="F271" s="6" t="s">
        <v>13</v>
      </c>
      <c r="G271" s="6"/>
      <c r="I271">
        <f t="shared" si="16"/>
        <v>79.382403397282445</v>
      </c>
      <c r="J271">
        <f t="shared" si="17"/>
        <v>265.14999999999998</v>
      </c>
      <c r="K271">
        <f t="shared" si="18"/>
        <v>451411.06371228216</v>
      </c>
    </row>
    <row r="272" spans="1:11">
      <c r="A272">
        <v>267</v>
      </c>
      <c r="B272">
        <v>266.14999999999998</v>
      </c>
      <c r="C272">
        <v>0.20549916295603007</v>
      </c>
      <c r="D272">
        <v>4.6832062718729475</v>
      </c>
      <c r="E272" s="6" t="s">
        <v>13</v>
      </c>
      <c r="F272" s="6" t="s">
        <v>13</v>
      </c>
      <c r="G272" s="6"/>
      <c r="I272">
        <f t="shared" si="16"/>
        <v>79.450083704396988</v>
      </c>
      <c r="J272">
        <f t="shared" si="17"/>
        <v>266.14999999999998</v>
      </c>
      <c r="K272">
        <f t="shared" si="18"/>
        <v>468320.62718729477</v>
      </c>
    </row>
    <row r="273" spans="1:11">
      <c r="A273">
        <v>268</v>
      </c>
      <c r="B273">
        <v>267.14999999999998</v>
      </c>
      <c r="C273">
        <v>0.20481194125330179</v>
      </c>
      <c r="D273">
        <v>4.8549548155306734</v>
      </c>
      <c r="E273" s="6" t="s">
        <v>13</v>
      </c>
      <c r="F273" s="6" t="s">
        <v>13</v>
      </c>
      <c r="G273" s="6"/>
      <c r="I273">
        <f t="shared" si="16"/>
        <v>79.518805874669823</v>
      </c>
      <c r="J273">
        <f t="shared" si="17"/>
        <v>267.14999999999998</v>
      </c>
      <c r="K273">
        <f t="shared" si="18"/>
        <v>485495.48155306734</v>
      </c>
    </row>
    <row r="274" spans="1:11">
      <c r="A274">
        <v>269</v>
      </c>
      <c r="B274">
        <v>268.14999999999998</v>
      </c>
      <c r="C274">
        <v>0.20411450414386337</v>
      </c>
      <c r="D274">
        <v>5.0293218626157357</v>
      </c>
      <c r="E274" s="6" t="s">
        <v>13</v>
      </c>
      <c r="F274" s="6" t="s">
        <v>13</v>
      </c>
      <c r="G274" s="6"/>
      <c r="I274">
        <f t="shared" si="16"/>
        <v>79.588549585613663</v>
      </c>
      <c r="J274">
        <f t="shared" si="17"/>
        <v>268.14999999999998</v>
      </c>
      <c r="K274">
        <f t="shared" si="18"/>
        <v>502932.18626157357</v>
      </c>
    </row>
    <row r="275" spans="1:11">
      <c r="A275">
        <v>270</v>
      </c>
      <c r="B275">
        <v>269.14999999999998</v>
      </c>
      <c r="C275">
        <v>0.20340705485258767</v>
      </c>
      <c r="D275">
        <v>5.2062730076478685</v>
      </c>
      <c r="E275" s="6" t="s">
        <v>13</v>
      </c>
      <c r="F275" s="6" t="s">
        <v>13</v>
      </c>
      <c r="G275" s="6"/>
      <c r="I275">
        <f t="shared" si="16"/>
        <v>79.659294514741234</v>
      </c>
      <c r="J275">
        <f t="shared" si="17"/>
        <v>269.14999999999998</v>
      </c>
      <c r="K275">
        <f t="shared" si="18"/>
        <v>520627.30076478684</v>
      </c>
    </row>
    <row r="276" spans="1:11">
      <c r="A276">
        <v>271</v>
      </c>
      <c r="B276">
        <v>270.14999999999998</v>
      </c>
      <c r="C276">
        <v>0.20268979660434738</v>
      </c>
      <c r="D276">
        <v>5.3857738451468089</v>
      </c>
      <c r="E276" s="6" t="s">
        <v>13</v>
      </c>
      <c r="F276" s="6" t="s">
        <v>13</v>
      </c>
      <c r="G276" s="6"/>
      <c r="I276">
        <f t="shared" si="16"/>
        <v>79.731020339565262</v>
      </c>
      <c r="J276">
        <f t="shared" si="17"/>
        <v>270.14999999999998</v>
      </c>
      <c r="K276">
        <f t="shared" si="18"/>
        <v>538577.38451468095</v>
      </c>
    </row>
    <row r="277" spans="1:11">
      <c r="A277">
        <v>272</v>
      </c>
      <c r="B277">
        <v>271.14999999999998</v>
      </c>
      <c r="C277">
        <v>0.20196293262401518</v>
      </c>
      <c r="D277">
        <v>5.5677899696322912</v>
      </c>
      <c r="E277" s="6" t="s">
        <v>13</v>
      </c>
      <c r="F277" s="6" t="s">
        <v>13</v>
      </c>
      <c r="G277" s="6"/>
      <c r="I277">
        <f t="shared" si="16"/>
        <v>79.803706737598475</v>
      </c>
      <c r="J277">
        <f t="shared" si="17"/>
        <v>271.14999999999998</v>
      </c>
      <c r="K277">
        <f t="shared" si="18"/>
        <v>556778.99696322915</v>
      </c>
    </row>
    <row r="278" spans="1:11">
      <c r="A278">
        <v>273</v>
      </c>
      <c r="B278">
        <v>272.14999999999998</v>
      </c>
      <c r="C278">
        <v>0.20122666613646387</v>
      </c>
      <c r="D278">
        <v>5.7522869756240533</v>
      </c>
      <c r="E278" s="6" t="s">
        <v>13</v>
      </c>
      <c r="F278" s="6" t="s">
        <v>13</v>
      </c>
      <c r="G278" s="6"/>
      <c r="I278">
        <f t="shared" si="16"/>
        <v>79.877333386353612</v>
      </c>
      <c r="J278">
        <f t="shared" si="17"/>
        <v>272.14999999999998</v>
      </c>
      <c r="K278">
        <f t="shared" si="18"/>
        <v>575228.69756240537</v>
      </c>
    </row>
    <row r="279" spans="1:11">
      <c r="A279">
        <v>274</v>
      </c>
      <c r="B279">
        <v>273.14999999999998</v>
      </c>
      <c r="C279">
        <v>0.20048120036656619</v>
      </c>
      <c r="D279">
        <v>5.9392304576418287</v>
      </c>
      <c r="E279" s="6" t="s">
        <v>13</v>
      </c>
      <c r="F279" s="6" t="s">
        <v>13</v>
      </c>
      <c r="G279" s="6"/>
      <c r="I279">
        <f t="shared" si="16"/>
        <v>79.951879963343387</v>
      </c>
      <c r="J279">
        <f t="shared" si="17"/>
        <v>273.14999999999998</v>
      </c>
      <c r="K279">
        <f t="shared" si="18"/>
        <v>593923.04576418281</v>
      </c>
    </row>
    <row r="280" spans="1:11">
      <c r="A280">
        <v>275</v>
      </c>
      <c r="B280">
        <v>274.14999999999998</v>
      </c>
      <c r="C280">
        <v>0.1997267385391949</v>
      </c>
      <c r="D280">
        <v>6.1285860102053542</v>
      </c>
      <c r="E280" s="6" t="s">
        <v>13</v>
      </c>
      <c r="F280" s="6" t="s">
        <v>13</v>
      </c>
      <c r="G280" s="6"/>
      <c r="I280">
        <f t="shared" si="16"/>
        <v>80.027326146080512</v>
      </c>
      <c r="J280">
        <f t="shared" si="17"/>
        <v>274.14999999999998</v>
      </c>
      <c r="K280">
        <f t="shared" si="18"/>
        <v>612858.60102053545</v>
      </c>
    </row>
    <row r="281" spans="1:11">
      <c r="A281">
        <v>276</v>
      </c>
      <c r="B281">
        <v>275.14999999999998</v>
      </c>
      <c r="C281">
        <v>0.19896348387922266</v>
      </c>
      <c r="D281">
        <v>6.3203192278343634</v>
      </c>
      <c r="E281" s="6" t="s">
        <v>13</v>
      </c>
      <c r="F281" s="6" t="s">
        <v>13</v>
      </c>
      <c r="G281" s="6"/>
      <c r="I281">
        <f t="shared" si="16"/>
        <v>80.103651612077726</v>
      </c>
      <c r="J281">
        <f t="shared" si="17"/>
        <v>275.14999999999998</v>
      </c>
      <c r="K281">
        <f t="shared" si="18"/>
        <v>632031.92278343637</v>
      </c>
    </row>
    <row r="282" spans="1:11">
      <c r="A282">
        <v>277</v>
      </c>
      <c r="B282">
        <v>276.14999999999998</v>
      </c>
      <c r="C282">
        <v>0.19819163961152231</v>
      </c>
      <c r="D282">
        <v>6.5143957050485932</v>
      </c>
      <c r="E282" s="6" t="s">
        <v>13</v>
      </c>
      <c r="F282" s="6" t="s">
        <v>13</v>
      </c>
      <c r="G282" s="6"/>
      <c r="I282">
        <f t="shared" si="16"/>
        <v>80.180836038847772</v>
      </c>
      <c r="J282">
        <f t="shared" si="17"/>
        <v>276.14999999999998</v>
      </c>
      <c r="K282">
        <f t="shared" si="18"/>
        <v>651439.57050485932</v>
      </c>
    </row>
    <row r="283" spans="1:11">
      <c r="A283">
        <v>278</v>
      </c>
      <c r="B283">
        <v>277.14999999999998</v>
      </c>
      <c r="C283">
        <v>0.19741140896096657</v>
      </c>
      <c r="D283">
        <v>6.7107810363677798</v>
      </c>
      <c r="E283" s="6" t="s">
        <v>13</v>
      </c>
      <c r="F283" s="6" t="s">
        <v>13</v>
      </c>
      <c r="G283" s="6"/>
      <c r="I283">
        <f t="shared" si="16"/>
        <v>80.258859103903347</v>
      </c>
      <c r="J283">
        <f t="shared" si="17"/>
        <v>277.14999999999998</v>
      </c>
      <c r="K283">
        <f t="shared" si="18"/>
        <v>671078.10363677796</v>
      </c>
    </row>
    <row r="284" spans="1:11">
      <c r="A284">
        <v>279</v>
      </c>
      <c r="B284">
        <v>278.14999999999998</v>
      </c>
      <c r="C284">
        <v>0.19662299515242812</v>
      </c>
      <c r="D284">
        <v>6.9094408163116592</v>
      </c>
      <c r="E284" s="6" t="s">
        <v>13</v>
      </c>
      <c r="F284" s="6" t="s">
        <v>13</v>
      </c>
      <c r="G284" s="6"/>
      <c r="I284">
        <f t="shared" si="16"/>
        <v>80.337700484757192</v>
      </c>
      <c r="J284">
        <f t="shared" si="17"/>
        <v>278.14999999999998</v>
      </c>
      <c r="K284">
        <f t="shared" si="18"/>
        <v>690944.08163116593</v>
      </c>
    </row>
    <row r="285" spans="1:11">
      <c r="A285">
        <v>280</v>
      </c>
      <c r="B285">
        <v>279.14999999999998</v>
      </c>
      <c r="C285">
        <v>0.19582660141077976</v>
      </c>
      <c r="D285">
        <v>7.1103406393999649</v>
      </c>
      <c r="E285" s="6" t="s">
        <v>13</v>
      </c>
      <c r="F285" s="6" t="s">
        <v>13</v>
      </c>
      <c r="G285" s="6"/>
      <c r="I285">
        <f t="shared" si="16"/>
        <v>80.41733985892202</v>
      </c>
      <c r="J285">
        <f t="shared" si="17"/>
        <v>279.14999999999998</v>
      </c>
      <c r="K285">
        <f t="shared" si="18"/>
        <v>711034.06393999653</v>
      </c>
    </row>
    <row r="286" spans="1:11">
      <c r="A286">
        <v>281</v>
      </c>
      <c r="B286">
        <v>280.14999999999998</v>
      </c>
      <c r="C286">
        <v>0.19502243096089419</v>
      </c>
      <c r="D286">
        <v>7.3134461001524347</v>
      </c>
      <c r="E286" s="6" t="s">
        <v>13</v>
      </c>
      <c r="F286" s="6" t="s">
        <v>13</v>
      </c>
      <c r="G286" s="6"/>
      <c r="I286">
        <f t="shared" si="16"/>
        <v>80.497756903910584</v>
      </c>
      <c r="J286">
        <f t="shared" si="17"/>
        <v>280.14999999999998</v>
      </c>
      <c r="K286">
        <f t="shared" si="18"/>
        <v>731344.61001524352</v>
      </c>
    </row>
    <row r="287" spans="1:11">
      <c r="A287">
        <v>282</v>
      </c>
      <c r="B287">
        <v>281.14999999999998</v>
      </c>
      <c r="C287">
        <v>0.19421068702764421</v>
      </c>
      <c r="D287">
        <v>7.518722793088803</v>
      </c>
      <c r="E287" s="6" t="s">
        <v>13</v>
      </c>
      <c r="F287" s="6" t="s">
        <v>13</v>
      </c>
      <c r="G287" s="6"/>
      <c r="I287">
        <f t="shared" si="16"/>
        <v>80.578931297235584</v>
      </c>
      <c r="J287">
        <f t="shared" si="17"/>
        <v>281.14999999999998</v>
      </c>
      <c r="K287">
        <f t="shared" si="18"/>
        <v>751872.27930888033</v>
      </c>
    </row>
    <row r="288" spans="1:11">
      <c r="A288">
        <v>283</v>
      </c>
      <c r="B288">
        <v>282.14999999999998</v>
      </c>
      <c r="C288">
        <v>0.1933915728359025</v>
      </c>
      <c r="D288">
        <v>7.7261363127288059</v>
      </c>
      <c r="E288" s="6" t="s">
        <v>13</v>
      </c>
      <c r="F288" s="6" t="s">
        <v>13</v>
      </c>
      <c r="G288" s="6"/>
      <c r="I288">
        <f t="shared" si="16"/>
        <v>80.660842716409746</v>
      </c>
      <c r="J288">
        <f t="shared" si="17"/>
        <v>282.14999999999998</v>
      </c>
      <c r="K288">
        <f t="shared" si="18"/>
        <v>772613.63127288059</v>
      </c>
    </row>
    <row r="289" spans="1:11">
      <c r="A289">
        <v>284</v>
      </c>
      <c r="B289">
        <v>283.14999999999998</v>
      </c>
      <c r="C289">
        <v>0.19256529161054187</v>
      </c>
      <c r="D289">
        <v>7.9356522535921785</v>
      </c>
      <c r="E289" s="6" t="s">
        <v>13</v>
      </c>
      <c r="F289" s="6" t="s">
        <v>13</v>
      </c>
      <c r="G289" s="6"/>
      <c r="I289">
        <f t="shared" si="16"/>
        <v>80.743470838945825</v>
      </c>
      <c r="J289">
        <f t="shared" si="17"/>
        <v>283.14999999999998</v>
      </c>
      <c r="K289">
        <f t="shared" si="18"/>
        <v>793565.22535921785</v>
      </c>
    </row>
    <row r="290" spans="1:11">
      <c r="A290">
        <v>285</v>
      </c>
      <c r="B290">
        <v>284.14999999999998</v>
      </c>
      <c r="C290">
        <v>0.191732046576435</v>
      </c>
      <c r="D290">
        <v>8.147236210198658</v>
      </c>
      <c r="E290" s="6" t="s">
        <v>13</v>
      </c>
      <c r="F290" s="6" t="s">
        <v>13</v>
      </c>
      <c r="G290" s="6"/>
      <c r="I290">
        <f t="shared" si="16"/>
        <v>80.826795342356505</v>
      </c>
      <c r="J290">
        <f t="shared" si="17"/>
        <v>284.14999999999998</v>
      </c>
      <c r="K290">
        <f t="shared" si="18"/>
        <v>814723.62101986585</v>
      </c>
    </row>
    <row r="291" spans="1:11">
      <c r="A291">
        <v>286</v>
      </c>
      <c r="B291">
        <v>285.14999999999998</v>
      </c>
      <c r="C291">
        <v>0.19089204095845463</v>
      </c>
      <c r="D291">
        <v>8.3608537770679749</v>
      </c>
      <c r="E291" s="6" t="s">
        <v>13</v>
      </c>
      <c r="F291" s="6" t="s">
        <v>13</v>
      </c>
      <c r="G291" s="6"/>
      <c r="I291">
        <f t="shared" si="16"/>
        <v>80.910795904154526</v>
      </c>
      <c r="J291">
        <f t="shared" si="17"/>
        <v>285.14999999999998</v>
      </c>
      <c r="K291">
        <f t="shared" si="18"/>
        <v>836085.37770679744</v>
      </c>
    </row>
    <row r="292" spans="1:11">
      <c r="A292">
        <v>287</v>
      </c>
      <c r="B292">
        <v>286.14999999999998</v>
      </c>
      <c r="C292">
        <v>0.19004547798147356</v>
      </c>
      <c r="D292">
        <v>8.5764705487198718</v>
      </c>
      <c r="E292" s="6" t="s">
        <v>13</v>
      </c>
      <c r="F292" s="6" t="s">
        <v>13</v>
      </c>
      <c r="G292" s="6"/>
      <c r="I292">
        <f t="shared" si="16"/>
        <v>80.995452201852643</v>
      </c>
      <c r="J292">
        <f t="shared" si="17"/>
        <v>286.14999999999998</v>
      </c>
      <c r="K292">
        <f t="shared" si="18"/>
        <v>857647.0548719872</v>
      </c>
    </row>
    <row r="293" spans="1:11">
      <c r="A293">
        <v>288</v>
      </c>
      <c r="B293">
        <v>287.14999999999998</v>
      </c>
      <c r="C293">
        <v>0.18919256087036448</v>
      </c>
      <c r="D293">
        <v>8.7940521196740828</v>
      </c>
      <c r="E293" s="6" t="s">
        <v>13</v>
      </c>
      <c r="F293" s="6" t="s">
        <v>13</v>
      </c>
      <c r="G293" s="6"/>
      <c r="I293">
        <f t="shared" si="16"/>
        <v>81.080743912963555</v>
      </c>
      <c r="J293">
        <f t="shared" si="17"/>
        <v>287.14999999999998</v>
      </c>
      <c r="K293">
        <f t="shared" si="18"/>
        <v>879405.21196740831</v>
      </c>
    </row>
    <row r="294" spans="1:11">
      <c r="A294">
        <v>289</v>
      </c>
      <c r="B294">
        <v>288.14999999999998</v>
      </c>
      <c r="C294">
        <v>0.18833349285000017</v>
      </c>
      <c r="D294">
        <v>9.0135640844503389</v>
      </c>
      <c r="E294" s="6" t="s">
        <v>13</v>
      </c>
      <c r="F294" s="6" t="s">
        <v>13</v>
      </c>
      <c r="G294" s="6"/>
      <c r="I294">
        <f t="shared" si="16"/>
        <v>81.166650714999975</v>
      </c>
      <c r="J294">
        <f t="shared" si="17"/>
        <v>288.14999999999998</v>
      </c>
      <c r="K294">
        <f t="shared" si="18"/>
        <v>901356.40844503394</v>
      </c>
    </row>
    <row r="295" spans="1:11">
      <c r="A295">
        <v>290</v>
      </c>
      <c r="B295">
        <v>289.14999999999998</v>
      </c>
      <c r="C295">
        <v>0.1874684771452533</v>
      </c>
      <c r="D295">
        <v>9.2349720375683795</v>
      </c>
      <c r="E295" s="6" t="s">
        <v>13</v>
      </c>
      <c r="F295" s="6" t="s">
        <v>13</v>
      </c>
      <c r="G295" s="6"/>
      <c r="I295">
        <f t="shared" si="16"/>
        <v>81.25315228547467</v>
      </c>
      <c r="J295">
        <f t="shared" si="17"/>
        <v>289.14999999999998</v>
      </c>
      <c r="K295">
        <f t="shared" si="18"/>
        <v>923497.20375683799</v>
      </c>
    </row>
    <row r="296" spans="1:11">
      <c r="A296">
        <v>291</v>
      </c>
      <c r="B296">
        <v>290.14999999999998</v>
      </c>
      <c r="C296">
        <v>0.18659771698099673</v>
      </c>
      <c r="D296">
        <v>9.458241573547939</v>
      </c>
      <c r="E296" s="6" t="s">
        <v>13</v>
      </c>
      <c r="F296" s="6" t="s">
        <v>13</v>
      </c>
      <c r="G296" s="6"/>
      <c r="I296">
        <f t="shared" si="16"/>
        <v>81.340228301900325</v>
      </c>
      <c r="J296">
        <f t="shared" si="17"/>
        <v>290.14999999999998</v>
      </c>
      <c r="K296">
        <f t="shared" si="18"/>
        <v>945824.15735479386</v>
      </c>
    </row>
    <row r="297" spans="1:11">
      <c r="A297">
        <v>292</v>
      </c>
      <c r="B297">
        <v>291.14999999999998</v>
      </c>
      <c r="C297">
        <v>0.18572141558210312</v>
      </c>
      <c r="D297">
        <v>9.6833382869087536</v>
      </c>
      <c r="E297" s="6" t="s">
        <v>13</v>
      </c>
      <c r="F297" s="6" t="s">
        <v>13</v>
      </c>
      <c r="G297" s="6"/>
      <c r="I297">
        <f t="shared" si="16"/>
        <v>81.427858441789695</v>
      </c>
      <c r="J297">
        <f t="shared" si="17"/>
        <v>291.14999999999998</v>
      </c>
      <c r="K297">
        <f t="shared" si="18"/>
        <v>968333.82869087532</v>
      </c>
    </row>
    <row r="298" spans="1:11">
      <c r="A298">
        <v>293</v>
      </c>
      <c r="B298">
        <v>292.14999999999998</v>
      </c>
      <c r="C298">
        <v>0.18483977617344516</v>
      </c>
      <c r="D298">
        <v>9.9102277721705594</v>
      </c>
      <c r="E298" s="6" t="s">
        <v>13</v>
      </c>
      <c r="F298" s="6" t="s">
        <v>13</v>
      </c>
      <c r="G298" s="6"/>
      <c r="I298">
        <f t="shared" si="16"/>
        <v>81.516022382655478</v>
      </c>
      <c r="J298">
        <f t="shared" si="17"/>
        <v>292.14999999999998</v>
      </c>
      <c r="K298">
        <f t="shared" si="18"/>
        <v>991022.7772170559</v>
      </c>
    </row>
    <row r="299" spans="1:11">
      <c r="A299">
        <v>294</v>
      </c>
      <c r="B299">
        <v>293.14999999999998</v>
      </c>
      <c r="C299">
        <v>0.18395300197989572</v>
      </c>
      <c r="D299">
        <v>10.138875623853092</v>
      </c>
      <c r="E299" s="6" t="s">
        <v>13</v>
      </c>
      <c r="F299" s="6" t="s">
        <v>13</v>
      </c>
      <c r="G299" s="6"/>
      <c r="I299">
        <f t="shared" si="16"/>
        <v>81.60469980201043</v>
      </c>
      <c r="J299">
        <f t="shared" si="17"/>
        <v>293.14999999999998</v>
      </c>
      <c r="K299">
        <f t="shared" si="18"/>
        <v>1013887.5623853093</v>
      </c>
    </row>
    <row r="300" spans="1:11">
      <c r="A300">
        <v>295</v>
      </c>
      <c r="B300">
        <v>294.14999999999998</v>
      </c>
      <c r="C300">
        <v>0.18306129622632744</v>
      </c>
      <c r="D300">
        <v>10.369247436476087</v>
      </c>
      <c r="E300" s="6" t="s">
        <v>13</v>
      </c>
      <c r="F300" s="6" t="s">
        <v>13</v>
      </c>
      <c r="G300" s="6"/>
      <c r="I300">
        <f t="shared" si="16"/>
        <v>81.693870377367261</v>
      </c>
      <c r="J300">
        <f t="shared" si="17"/>
        <v>294.14999999999998</v>
      </c>
      <c r="K300">
        <f t="shared" si="18"/>
        <v>1036924.7436476087</v>
      </c>
    </row>
    <row r="301" spans="1:11">
      <c r="A301">
        <v>296</v>
      </c>
      <c r="B301">
        <v>295.14999999999998</v>
      </c>
      <c r="C301">
        <v>0.18216486213761315</v>
      </c>
      <c r="D301">
        <v>10.601308804559276</v>
      </c>
      <c r="E301" s="6" t="s">
        <v>13</v>
      </c>
      <c r="F301" s="6" t="s">
        <v>13</v>
      </c>
      <c r="G301" s="6"/>
      <c r="I301">
        <f t="shared" si="16"/>
        <v>81.783513786238686</v>
      </c>
      <c r="J301">
        <f t="shared" si="17"/>
        <v>295.14999999999998</v>
      </c>
      <c r="K301">
        <f t="shared" si="18"/>
        <v>1060130.8804559275</v>
      </c>
    </row>
    <row r="302" spans="1:11">
      <c r="A302">
        <v>297</v>
      </c>
      <c r="B302">
        <v>296.14999999999998</v>
      </c>
      <c r="C302">
        <v>0.18126390293862549</v>
      </c>
      <c r="D302">
        <v>10.8350253226224</v>
      </c>
      <c r="E302" s="6" t="s">
        <v>13</v>
      </c>
      <c r="F302" s="6" t="s">
        <v>13</v>
      </c>
      <c r="G302" s="6"/>
      <c r="I302">
        <f t="shared" si="16"/>
        <v>81.873609706137458</v>
      </c>
      <c r="J302">
        <f t="shared" si="17"/>
        <v>296.14999999999998</v>
      </c>
      <c r="K302">
        <f t="shared" si="18"/>
        <v>1083502.5322622401</v>
      </c>
    </row>
    <row r="303" spans="1:11">
      <c r="A303">
        <v>298</v>
      </c>
      <c r="B303">
        <v>297.14999999999998</v>
      </c>
      <c r="C303">
        <v>0.18035862185423726</v>
      </c>
      <c r="D303">
        <v>11.070362585185194</v>
      </c>
      <c r="E303" s="6" t="s">
        <v>13</v>
      </c>
      <c r="F303" s="6" t="s">
        <v>13</v>
      </c>
      <c r="G303" s="6"/>
      <c r="I303">
        <f t="shared" si="16"/>
        <v>81.964137814576276</v>
      </c>
      <c r="J303">
        <f t="shared" si="17"/>
        <v>297.14999999999998</v>
      </c>
      <c r="K303">
        <f t="shared" si="18"/>
        <v>1107036.2585185193</v>
      </c>
    </row>
    <row r="304" spans="1:11">
      <c r="A304">
        <v>299</v>
      </c>
      <c r="B304">
        <v>298.14999999999998</v>
      </c>
      <c r="C304">
        <v>0.17944922210932121</v>
      </c>
      <c r="D304">
        <v>11.30728618676739</v>
      </c>
      <c r="E304" s="6" t="s">
        <v>13</v>
      </c>
      <c r="F304" s="6" t="s">
        <v>13</v>
      </c>
      <c r="G304" s="6"/>
      <c r="I304">
        <f t="shared" si="16"/>
        <v>82.05507778906788</v>
      </c>
      <c r="J304">
        <f t="shared" si="17"/>
        <v>298.14999999999998</v>
      </c>
      <c r="K304">
        <f t="shared" si="18"/>
        <v>1130728.618676739</v>
      </c>
    </row>
    <row r="305" spans="1:11">
      <c r="A305">
        <v>300</v>
      </c>
      <c r="B305">
        <v>299.14999999999998</v>
      </c>
      <c r="C305">
        <v>0.17853590692875007</v>
      </c>
      <c r="D305">
        <v>11.545761721888729</v>
      </c>
      <c r="E305" s="6" t="s">
        <v>13</v>
      </c>
      <c r="F305" s="6" t="s">
        <v>13</v>
      </c>
      <c r="G305" s="6"/>
      <c r="I305">
        <f t="shared" si="16"/>
        <v>82.146409307124983</v>
      </c>
      <c r="J305">
        <f t="shared" si="17"/>
        <v>299.14999999999998</v>
      </c>
      <c r="K305">
        <f t="shared" si="18"/>
        <v>1154576.1721888729</v>
      </c>
    </row>
    <row r="306" spans="1:11">
      <c r="A306">
        <v>301</v>
      </c>
      <c r="B306">
        <v>300.14999999999998</v>
      </c>
      <c r="C306">
        <v>0.17761887953739658</v>
      </c>
      <c r="D306">
        <v>11.78575478506894</v>
      </c>
      <c r="E306" s="6" t="s">
        <v>13</v>
      </c>
      <c r="F306" s="6" t="s">
        <v>13</v>
      </c>
      <c r="G306" s="6"/>
      <c r="I306">
        <f t="shared" si="16"/>
        <v>82.238112046260341</v>
      </c>
      <c r="J306">
        <f t="shared" si="17"/>
        <v>300.14999999999998</v>
      </c>
      <c r="K306">
        <f t="shared" si="18"/>
        <v>1178575.4785068941</v>
      </c>
    </row>
    <row r="307" spans="1:11">
      <c r="A307">
        <v>302</v>
      </c>
      <c r="B307">
        <v>301.14999999999998</v>
      </c>
      <c r="C307">
        <v>0.17669834316013347</v>
      </c>
      <c r="D307">
        <v>12.027230970827762</v>
      </c>
      <c r="E307" s="6" t="s">
        <v>13</v>
      </c>
      <c r="F307" s="6" t="s">
        <v>13</v>
      </c>
      <c r="G307" s="6"/>
      <c r="I307">
        <f t="shared" si="16"/>
        <v>82.33016568398665</v>
      </c>
      <c r="J307">
        <f t="shared" si="17"/>
        <v>301.14999999999998</v>
      </c>
      <c r="K307">
        <f t="shared" si="18"/>
        <v>1202723.0970827763</v>
      </c>
    </row>
    <row r="308" spans="1:11">
      <c r="A308">
        <v>303</v>
      </c>
      <c r="B308">
        <v>302.14999999999998</v>
      </c>
      <c r="C308">
        <v>0.17577450102183351</v>
      </c>
      <c r="D308">
        <v>12.270155873684935</v>
      </c>
      <c r="E308" s="6" t="s">
        <v>13</v>
      </c>
      <c r="F308" s="6" t="s">
        <v>13</v>
      </c>
      <c r="G308" s="6"/>
      <c r="I308">
        <f t="shared" si="16"/>
        <v>82.422549897816651</v>
      </c>
      <c r="J308">
        <f t="shared" si="17"/>
        <v>302.14999999999998</v>
      </c>
      <c r="K308">
        <f t="shared" si="18"/>
        <v>1227015.5873684934</v>
      </c>
    </row>
    <row r="309" spans="1:11">
      <c r="A309">
        <v>304</v>
      </c>
      <c r="B309">
        <v>303.14999999999998</v>
      </c>
      <c r="C309">
        <v>0.1748475563473694</v>
      </c>
      <c r="D309">
        <v>12.514495088160185</v>
      </c>
      <c r="E309" s="6" t="s">
        <v>13</v>
      </c>
      <c r="F309" s="6" t="s">
        <v>13</v>
      </c>
      <c r="G309" s="6"/>
      <c r="I309">
        <f t="shared" si="16"/>
        <v>82.515244365263058</v>
      </c>
      <c r="J309">
        <f t="shared" si="17"/>
        <v>303.14999999999998</v>
      </c>
      <c r="K309">
        <f t="shared" si="18"/>
        <v>1251449.5088160185</v>
      </c>
    </row>
    <row r="310" spans="1:11">
      <c r="A310">
        <v>305</v>
      </c>
      <c r="B310">
        <v>304.14999999999998</v>
      </c>
      <c r="C310">
        <v>0.17391771236161391</v>
      </c>
      <c r="D310">
        <v>12.760214208773258</v>
      </c>
      <c r="E310" s="6" t="s">
        <v>13</v>
      </c>
      <c r="F310" s="6" t="s">
        <v>13</v>
      </c>
      <c r="G310" s="6"/>
      <c r="I310">
        <f t="shared" si="16"/>
        <v>82.608228763838611</v>
      </c>
      <c r="J310">
        <f t="shared" si="17"/>
        <v>304.14999999999998</v>
      </c>
      <c r="K310">
        <f t="shared" si="18"/>
        <v>1276021.4208773258</v>
      </c>
    </row>
    <row r="311" spans="1:11">
      <c r="A311">
        <v>306</v>
      </c>
      <c r="B311">
        <v>305.14999999999998</v>
      </c>
      <c r="C311">
        <v>0.17298517228943977</v>
      </c>
      <c r="D311">
        <v>13.007278830043882</v>
      </c>
      <c r="E311" s="6" t="s">
        <v>13</v>
      </c>
      <c r="F311" s="6" t="s">
        <v>13</v>
      </c>
      <c r="G311" s="6"/>
      <c r="I311">
        <f t="shared" si="16"/>
        <v>82.701482771056021</v>
      </c>
      <c r="J311">
        <f t="shared" si="17"/>
        <v>305.14999999999998</v>
      </c>
      <c r="K311">
        <f t="shared" si="18"/>
        <v>1300727.8830043883</v>
      </c>
    </row>
    <row r="312" spans="1:11">
      <c r="A312">
        <v>307</v>
      </c>
      <c r="B312">
        <v>306.14999999999998</v>
      </c>
      <c r="C312">
        <v>0.17205013935571972</v>
      </c>
      <c r="D312">
        <v>13.255654546491794</v>
      </c>
      <c r="E312" s="6" t="s">
        <v>13</v>
      </c>
      <c r="F312" s="6" t="s">
        <v>13</v>
      </c>
      <c r="G312" s="6"/>
      <c r="I312">
        <f t="shared" si="16"/>
        <v>82.794986064428031</v>
      </c>
      <c r="J312">
        <f t="shared" si="17"/>
        <v>306.14999999999998</v>
      </c>
      <c r="K312">
        <f t="shared" si="18"/>
        <v>1325565.4546491795</v>
      </c>
    </row>
    <row r="313" spans="1:11">
      <c r="A313">
        <v>308</v>
      </c>
      <c r="B313">
        <v>307.14999999999998</v>
      </c>
      <c r="C313">
        <v>0.17111281678532655</v>
      </c>
      <c r="D313">
        <v>13.505306952636731</v>
      </c>
      <c r="E313" s="6" t="s">
        <v>13</v>
      </c>
      <c r="F313" s="6" t="s">
        <v>13</v>
      </c>
      <c r="G313" s="6"/>
      <c r="I313">
        <f t="shared" si="16"/>
        <v>82.888718321467351</v>
      </c>
      <c r="J313">
        <f t="shared" si="17"/>
        <v>307.14999999999998</v>
      </c>
      <c r="K313">
        <f t="shared" si="18"/>
        <v>1350530.6952636731</v>
      </c>
    </row>
    <row r="314" spans="1:11">
      <c r="A314">
        <v>309</v>
      </c>
      <c r="B314">
        <v>308.14999999999998</v>
      </c>
      <c r="C314">
        <v>0.17017340780313295</v>
      </c>
      <c r="D314">
        <v>13.75620164299843</v>
      </c>
      <c r="E314" s="6" t="s">
        <v>13</v>
      </c>
      <c r="F314" s="6" t="s">
        <v>13</v>
      </c>
      <c r="G314" s="6"/>
      <c r="I314">
        <f t="shared" si="16"/>
        <v>82.98265921968671</v>
      </c>
      <c r="J314">
        <f t="shared" si="17"/>
        <v>308.14999999999998</v>
      </c>
      <c r="K314">
        <f t="shared" si="18"/>
        <v>1375620.1642998431</v>
      </c>
    </row>
    <row r="315" spans="1:11">
      <c r="A315">
        <v>310</v>
      </c>
      <c r="B315">
        <v>309.14999999999998</v>
      </c>
      <c r="C315">
        <v>0.16923211563401164</v>
      </c>
      <c r="D315">
        <v>14.008304212096627</v>
      </c>
      <c r="E315" s="6" t="s">
        <v>13</v>
      </c>
      <c r="F315" s="6" t="s">
        <v>13</v>
      </c>
      <c r="G315" s="6"/>
      <c r="I315">
        <f t="shared" si="16"/>
        <v>83.076788436598832</v>
      </c>
      <c r="J315">
        <f t="shared" si="17"/>
        <v>309.14999999999998</v>
      </c>
      <c r="K315">
        <f t="shared" si="18"/>
        <v>1400830.4212096627</v>
      </c>
    </row>
    <row r="316" spans="1:11">
      <c r="A316">
        <v>311</v>
      </c>
      <c r="B316">
        <v>310.14999999999998</v>
      </c>
      <c r="C316">
        <v>0.16828914350283539</v>
      </c>
      <c r="D316">
        <v>14.261580254451051</v>
      </c>
      <c r="E316" s="6" t="s">
        <v>13</v>
      </c>
      <c r="F316" s="6" t="s">
        <v>13</v>
      </c>
      <c r="G316" s="6"/>
      <c r="I316">
        <f t="shared" si="16"/>
        <v>83.17108564971646</v>
      </c>
      <c r="J316">
        <f t="shared" si="17"/>
        <v>310.14999999999998</v>
      </c>
      <c r="K316">
        <f t="shared" si="18"/>
        <v>1426158.025445105</v>
      </c>
    </row>
    <row r="317" spans="1:11">
      <c r="A317">
        <v>312</v>
      </c>
      <c r="B317">
        <v>311.14999999999998</v>
      </c>
      <c r="C317">
        <v>0.16734469463447699</v>
      </c>
      <c r="D317">
        <v>14.515995364581444</v>
      </c>
      <c r="E317" s="6" t="s">
        <v>13</v>
      </c>
      <c r="F317" s="6" t="s">
        <v>13</v>
      </c>
      <c r="G317" s="6"/>
      <c r="I317">
        <f t="shared" si="16"/>
        <v>83.265530536552305</v>
      </c>
      <c r="J317">
        <f t="shared" si="17"/>
        <v>311.14999999999998</v>
      </c>
      <c r="K317">
        <f t="shared" si="18"/>
        <v>1451599.5364581444</v>
      </c>
    </row>
    <row r="318" spans="1:11">
      <c r="A318">
        <v>313</v>
      </c>
      <c r="B318">
        <v>312.14999999999998</v>
      </c>
      <c r="C318">
        <v>0.16639897225380915</v>
      </c>
      <c r="D318">
        <v>14.771515137007542</v>
      </c>
      <c r="E318" s="6" t="s">
        <v>13</v>
      </c>
      <c r="F318" s="6" t="s">
        <v>13</v>
      </c>
      <c r="G318" s="6"/>
      <c r="I318">
        <f t="shared" si="16"/>
        <v>83.360102774619079</v>
      </c>
      <c r="J318">
        <f t="shared" si="17"/>
        <v>312.14999999999998</v>
      </c>
      <c r="K318">
        <f t="shared" si="18"/>
        <v>1477151.5137007541</v>
      </c>
    </row>
    <row r="319" spans="1:11">
      <c r="A319">
        <v>314</v>
      </c>
      <c r="B319">
        <v>313.14999999999998</v>
      </c>
      <c r="C319">
        <v>0.16545217958570452</v>
      </c>
      <c r="D319">
        <v>15.028105166249075</v>
      </c>
      <c r="E319" s="6" t="s">
        <v>13</v>
      </c>
      <c r="F319" s="6" t="s">
        <v>13</v>
      </c>
      <c r="G319" s="6"/>
      <c r="I319">
        <f t="shared" si="16"/>
        <v>83.454782041429553</v>
      </c>
      <c r="J319">
        <f t="shared" si="17"/>
        <v>313.14999999999998</v>
      </c>
      <c r="K319">
        <f t="shared" si="18"/>
        <v>1502810.5166249075</v>
      </c>
    </row>
    <row r="320" spans="1:11">
      <c r="A320">
        <v>315</v>
      </c>
      <c r="B320">
        <v>314.14999999999998</v>
      </c>
      <c r="C320">
        <v>0.164504519855036</v>
      </c>
      <c r="D320">
        <v>15.285731046825786</v>
      </c>
      <c r="E320" s="6" t="s">
        <v>13</v>
      </c>
      <c r="F320" s="6" t="s">
        <v>13</v>
      </c>
      <c r="G320" s="6"/>
      <c r="I320">
        <f t="shared" si="16"/>
        <v>83.549548014496395</v>
      </c>
      <c r="J320">
        <f t="shared" si="17"/>
        <v>314.14999999999998</v>
      </c>
      <c r="K320">
        <f t="shared" si="18"/>
        <v>1528573.1046825787</v>
      </c>
    </row>
    <row r="321" spans="1:11">
      <c r="A321">
        <v>316</v>
      </c>
      <c r="B321">
        <v>315.14999999999998</v>
      </c>
      <c r="C321">
        <v>0.1635561962866762</v>
      </c>
      <c r="D321">
        <v>15.544358373257404</v>
      </c>
      <c r="E321" s="6" t="s">
        <v>13</v>
      </c>
      <c r="F321" s="6" t="s">
        <v>13</v>
      </c>
      <c r="G321" s="6"/>
      <c r="I321">
        <f t="shared" si="16"/>
        <v>83.644380371332389</v>
      </c>
      <c r="J321">
        <f t="shared" si="17"/>
        <v>315.14999999999998</v>
      </c>
      <c r="K321">
        <f t="shared" si="18"/>
        <v>1554435.8373257404</v>
      </c>
    </row>
    <row r="322" spans="1:11">
      <c r="A322">
        <v>317</v>
      </c>
      <c r="B322">
        <v>316.14999999999998</v>
      </c>
      <c r="C322">
        <v>0.16260741210549795</v>
      </c>
      <c r="D322">
        <v>15.803952740063668</v>
      </c>
      <c r="E322" s="6" t="s">
        <v>13</v>
      </c>
      <c r="F322" s="6" t="s">
        <v>13</v>
      </c>
      <c r="G322" s="6"/>
      <c r="I322">
        <f t="shared" si="16"/>
        <v>83.739258789450204</v>
      </c>
      <c r="J322">
        <f t="shared" si="17"/>
        <v>316.14999999999998</v>
      </c>
      <c r="K322">
        <f t="shared" si="18"/>
        <v>1580395.2740063667</v>
      </c>
    </row>
    <row r="323" spans="1:11">
      <c r="A323">
        <v>318</v>
      </c>
      <c r="B323">
        <v>317.14999999999998</v>
      </c>
      <c r="C323">
        <v>0.16165837053637394</v>
      </c>
      <c r="D323">
        <v>16.064479741764313</v>
      </c>
      <c r="E323" s="6" t="s">
        <v>13</v>
      </c>
      <c r="F323" s="6" t="s">
        <v>13</v>
      </c>
      <c r="G323" s="6"/>
      <c r="I323">
        <f t="shared" si="16"/>
        <v>83.834162946362611</v>
      </c>
      <c r="J323">
        <f t="shared" si="17"/>
        <v>317.14999999999998</v>
      </c>
      <c r="K323">
        <f t="shared" si="18"/>
        <v>1606447.9741764313</v>
      </c>
    </row>
    <row r="324" spans="1:11">
      <c r="A324">
        <v>319</v>
      </c>
      <c r="B324">
        <v>318.14999999999998</v>
      </c>
      <c r="C324">
        <v>0.16070927480417693</v>
      </c>
      <c r="D324">
        <v>16.325904972879073</v>
      </c>
      <c r="E324" s="6" t="s">
        <v>13</v>
      </c>
      <c r="F324" s="6" t="s">
        <v>13</v>
      </c>
      <c r="G324" s="6"/>
      <c r="I324">
        <f t="shared" si="16"/>
        <v>83.929072519582306</v>
      </c>
      <c r="J324">
        <f t="shared" si="17"/>
        <v>318.14999999999998</v>
      </c>
      <c r="K324">
        <f t="shared" si="18"/>
        <v>1632590.4972879072</v>
      </c>
    </row>
    <row r="325" spans="1:11">
      <c r="A325">
        <v>320</v>
      </c>
      <c r="B325">
        <v>319.14999999999998</v>
      </c>
      <c r="C325">
        <v>0.15976032813377969</v>
      </c>
      <c r="D325">
        <v>16.588194027927692</v>
      </c>
      <c r="E325" s="6" t="s">
        <v>13</v>
      </c>
      <c r="F325" s="6" t="s">
        <v>13</v>
      </c>
      <c r="G325" s="6"/>
      <c r="I325">
        <f t="shared" si="16"/>
        <v>84.023967186622031</v>
      </c>
      <c r="J325">
        <f t="shared" si="17"/>
        <v>319.14999999999998</v>
      </c>
      <c r="K325">
        <f t="shared" si="18"/>
        <v>1658819.4027927693</v>
      </c>
    </row>
    <row r="326" spans="1:11">
      <c r="A326">
        <v>321</v>
      </c>
      <c r="B326">
        <v>320.14999999999998</v>
      </c>
      <c r="C326">
        <v>0.15881173375005486</v>
      </c>
      <c r="D326">
        <v>16.851312501429891</v>
      </c>
      <c r="E326" s="6" t="s">
        <v>13</v>
      </c>
      <c r="F326" s="6" t="s">
        <v>13</v>
      </c>
      <c r="G326" s="6"/>
      <c r="I326">
        <f t="shared" si="16"/>
        <v>84.118826624994512</v>
      </c>
      <c r="J326">
        <f t="shared" si="17"/>
        <v>320.14999999999998</v>
      </c>
      <c r="K326">
        <f t="shared" si="18"/>
        <v>1685131.2501429892</v>
      </c>
    </row>
    <row r="327" spans="1:11">
      <c r="A327">
        <v>322</v>
      </c>
      <c r="B327">
        <v>321.14999999999998</v>
      </c>
      <c r="C327">
        <v>0.15786369487787533</v>
      </c>
      <c r="D327">
        <v>17.115225987905418</v>
      </c>
      <c r="E327" s="6" t="s">
        <v>13</v>
      </c>
      <c r="F327" s="6" t="s">
        <v>13</v>
      </c>
      <c r="G327" s="6"/>
      <c r="I327">
        <f t="shared" ref="I327:I390" si="19">(1-C327)*100</f>
        <v>84.213630512212461</v>
      </c>
      <c r="J327">
        <f t="shared" ref="J327:J390" si="20">B327</f>
        <v>321.14999999999998</v>
      </c>
      <c r="K327">
        <f t="shared" ref="K327:K390" si="21">D327*100000</f>
        <v>1711522.5987905418</v>
      </c>
    </row>
    <row r="328" spans="1:11">
      <c r="A328">
        <v>323</v>
      </c>
      <c r="B328">
        <v>322.14999999999998</v>
      </c>
      <c r="C328">
        <v>0.15691641474211371</v>
      </c>
      <c r="D328">
        <v>17.379900081873998</v>
      </c>
      <c r="E328" s="6" t="s">
        <v>13</v>
      </c>
      <c r="F328" s="6" t="s">
        <v>13</v>
      </c>
      <c r="G328" s="6"/>
      <c r="I328">
        <f t="shared" si="19"/>
        <v>84.308358525788634</v>
      </c>
      <c r="J328">
        <f t="shared" si="20"/>
        <v>322.14999999999998</v>
      </c>
      <c r="K328">
        <f t="shared" si="21"/>
        <v>1737990.0081873999</v>
      </c>
    </row>
    <row r="329" spans="1:11">
      <c r="A329">
        <v>324</v>
      </c>
      <c r="B329">
        <v>323.14999999999998</v>
      </c>
      <c r="C329">
        <v>0.15597009656764285</v>
      </c>
      <c r="D329">
        <v>17.645300377855378</v>
      </c>
      <c r="E329" s="6" t="s">
        <v>13</v>
      </c>
      <c r="F329" s="6" t="s">
        <v>13</v>
      </c>
      <c r="G329" s="6"/>
      <c r="I329">
        <f t="shared" si="19"/>
        <v>84.402990343235714</v>
      </c>
      <c r="J329">
        <f t="shared" si="20"/>
        <v>323.14999999999998</v>
      </c>
      <c r="K329">
        <f t="shared" si="21"/>
        <v>1764530.0377855378</v>
      </c>
    </row>
    <row r="330" spans="1:11">
      <c r="A330">
        <v>325</v>
      </c>
      <c r="B330">
        <v>324.14999999999998</v>
      </c>
      <c r="C330">
        <v>0.15502494357933536</v>
      </c>
      <c r="D330">
        <v>17.911392470369286</v>
      </c>
      <c r="E330" s="6" t="s">
        <v>13</v>
      </c>
      <c r="F330" s="6" t="s">
        <v>13</v>
      </c>
      <c r="G330" s="6"/>
      <c r="I330">
        <f t="shared" si="19"/>
        <v>84.497505642066457</v>
      </c>
      <c r="J330">
        <f t="shared" si="20"/>
        <v>324.14999999999998</v>
      </c>
      <c r="K330">
        <f t="shared" si="21"/>
        <v>1791139.2470369285</v>
      </c>
    </row>
    <row r="331" spans="1:11">
      <c r="A331">
        <v>326</v>
      </c>
      <c r="B331">
        <v>325.14999999999998</v>
      </c>
      <c r="C331">
        <v>0.15408115900206412</v>
      </c>
      <c r="D331">
        <v>18.178141953935462</v>
      </c>
      <c r="E331" s="6" t="s">
        <v>13</v>
      </c>
      <c r="F331" s="6" t="s">
        <v>13</v>
      </c>
      <c r="G331" s="6"/>
      <c r="I331">
        <f t="shared" si="19"/>
        <v>84.591884099793589</v>
      </c>
      <c r="J331">
        <f t="shared" si="20"/>
        <v>325.14999999999998</v>
      </c>
      <c r="K331">
        <f t="shared" si="21"/>
        <v>1817814.1953935463</v>
      </c>
    </row>
    <row r="332" spans="1:11">
      <c r="A332">
        <v>327</v>
      </c>
      <c r="B332">
        <v>326.14999999999998</v>
      </c>
      <c r="C332">
        <v>0.1531389460607018</v>
      </c>
      <c r="D332">
        <v>18.445514423073643</v>
      </c>
      <c r="E332" s="6" t="s">
        <v>13</v>
      </c>
      <c r="F332" s="6" t="s">
        <v>13</v>
      </c>
      <c r="G332" s="6"/>
      <c r="I332">
        <f t="shared" si="19"/>
        <v>84.686105393929822</v>
      </c>
      <c r="J332">
        <f t="shared" si="20"/>
        <v>326.14999999999998</v>
      </c>
      <c r="K332">
        <f t="shared" si="21"/>
        <v>1844551.4423073642</v>
      </c>
    </row>
    <row r="333" spans="1:11">
      <c r="A333">
        <v>328</v>
      </c>
      <c r="B333">
        <v>327.14999999999998</v>
      </c>
      <c r="C333">
        <v>0.15219850798012113</v>
      </c>
      <c r="D333">
        <v>18.713475472303553</v>
      </c>
      <c r="E333" s="6" t="s">
        <v>13</v>
      </c>
      <c r="F333" s="6" t="s">
        <v>13</v>
      </c>
      <c r="G333" s="6"/>
      <c r="I333">
        <f t="shared" si="19"/>
        <v>84.780149201987882</v>
      </c>
      <c r="J333">
        <f t="shared" si="20"/>
        <v>327.14999999999998</v>
      </c>
      <c r="K333">
        <f t="shared" si="21"/>
        <v>1871347.5472303554</v>
      </c>
    </row>
    <row r="334" spans="1:11">
      <c r="A334">
        <v>329</v>
      </c>
      <c r="B334">
        <v>328.15</v>
      </c>
      <c r="C334">
        <v>0.15126004798519491</v>
      </c>
      <c r="D334">
        <v>18.981990696144941</v>
      </c>
      <c r="E334" s="6" t="s">
        <v>13</v>
      </c>
      <c r="F334" s="6" t="s">
        <v>13</v>
      </c>
      <c r="G334" s="6"/>
      <c r="I334">
        <f t="shared" si="19"/>
        <v>84.873995201480511</v>
      </c>
      <c r="J334">
        <f t="shared" si="20"/>
        <v>328.15</v>
      </c>
      <c r="K334">
        <f t="shared" si="21"/>
        <v>1898199.069614494</v>
      </c>
    </row>
    <row r="335" spans="1:11">
      <c r="A335">
        <v>330</v>
      </c>
      <c r="B335">
        <v>329.15</v>
      </c>
      <c r="C335">
        <v>0.15032376930079583</v>
      </c>
      <c r="D335">
        <v>19.251025689117537</v>
      </c>
      <c r="E335" s="6" t="s">
        <v>13</v>
      </c>
      <c r="F335" s="6" t="s">
        <v>13</v>
      </c>
      <c r="G335" s="6"/>
      <c r="I335">
        <f t="shared" si="19"/>
        <v>84.967623069920421</v>
      </c>
      <c r="J335">
        <f t="shared" si="20"/>
        <v>329.15</v>
      </c>
      <c r="K335">
        <f t="shared" si="21"/>
        <v>1925102.5689117536</v>
      </c>
    </row>
    <row r="336" spans="1:11">
      <c r="A336">
        <v>331</v>
      </c>
      <c r="B336">
        <v>330.15</v>
      </c>
      <c r="C336">
        <v>0.14938987515179666</v>
      </c>
      <c r="D336">
        <v>19.520546045741074</v>
      </c>
      <c r="E336" s="6" t="s">
        <v>13</v>
      </c>
      <c r="F336" s="6" t="s">
        <v>13</v>
      </c>
      <c r="G336" s="6"/>
      <c r="I336">
        <f t="shared" si="19"/>
        <v>85.061012484820324</v>
      </c>
      <c r="J336">
        <f t="shared" si="20"/>
        <v>330.15</v>
      </c>
      <c r="K336">
        <f t="shared" si="21"/>
        <v>1952054.6045741073</v>
      </c>
    </row>
    <row r="337" spans="1:11">
      <c r="A337">
        <v>332</v>
      </c>
      <c r="B337">
        <v>331.15</v>
      </c>
      <c r="C337">
        <v>0.14845856876307009</v>
      </c>
      <c r="D337">
        <v>19.79051736053529</v>
      </c>
      <c r="E337" s="6" t="s">
        <v>13</v>
      </c>
      <c r="F337" s="6" t="s">
        <v>13</v>
      </c>
      <c r="G337" s="6"/>
      <c r="I337">
        <f t="shared" si="19"/>
        <v>85.15414312369299</v>
      </c>
      <c r="J337">
        <f t="shared" si="20"/>
        <v>331.15</v>
      </c>
      <c r="K337">
        <f t="shared" si="21"/>
        <v>1979051.736053529</v>
      </c>
    </row>
    <row r="338" spans="1:11">
      <c r="A338">
        <v>333</v>
      </c>
      <c r="B338">
        <v>332.15</v>
      </c>
      <c r="C338">
        <v>0.14753005335948893</v>
      </c>
      <c r="D338">
        <v>20.060905228019923</v>
      </c>
      <c r="E338" s="6" t="s">
        <v>13</v>
      </c>
      <c r="F338" s="6" t="s">
        <v>13</v>
      </c>
      <c r="G338" s="6"/>
      <c r="I338">
        <f t="shared" si="19"/>
        <v>85.246994664051101</v>
      </c>
      <c r="J338">
        <f t="shared" si="20"/>
        <v>332.15</v>
      </c>
      <c r="K338">
        <f t="shared" si="21"/>
        <v>2006090.5228019923</v>
      </c>
    </row>
    <row r="339" spans="1:11">
      <c r="A339">
        <v>334</v>
      </c>
      <c r="B339">
        <v>333.15</v>
      </c>
      <c r="C339">
        <v>0.14660453216592589</v>
      </c>
      <c r="D339">
        <v>20.331675242714709</v>
      </c>
      <c r="E339" s="6" t="s">
        <v>13</v>
      </c>
      <c r="F339" s="6" t="s">
        <v>13</v>
      </c>
      <c r="G339" s="6"/>
      <c r="I339">
        <f t="shared" si="19"/>
        <v>85.3395467834074</v>
      </c>
      <c r="J339">
        <f t="shared" si="20"/>
        <v>333.15</v>
      </c>
      <c r="K339">
        <f t="shared" si="21"/>
        <v>2033167.524271471</v>
      </c>
    </row>
    <row r="340" spans="1:11">
      <c r="A340">
        <v>335</v>
      </c>
      <c r="B340">
        <v>334.15</v>
      </c>
      <c r="C340">
        <v>0.14568220840725371</v>
      </c>
      <c r="D340">
        <v>20.602792999139382</v>
      </c>
      <c r="E340" s="6" t="s">
        <v>13</v>
      </c>
      <c r="F340" s="6" t="s">
        <v>13</v>
      </c>
      <c r="G340" s="6"/>
      <c r="I340">
        <f t="shared" si="19"/>
        <v>85.431779159274626</v>
      </c>
      <c r="J340">
        <f t="shared" si="20"/>
        <v>334.15</v>
      </c>
      <c r="K340">
        <f t="shared" si="21"/>
        <v>2060279.2999139382</v>
      </c>
    </row>
    <row r="341" spans="1:11">
      <c r="A341">
        <v>336</v>
      </c>
      <c r="B341">
        <v>335.15</v>
      </c>
      <c r="C341">
        <v>0.14476328530834512</v>
      </c>
      <c r="D341">
        <v>20.874224091813673</v>
      </c>
      <c r="E341" s="6" t="s">
        <v>13</v>
      </c>
      <c r="F341" s="6" t="s">
        <v>13</v>
      </c>
      <c r="G341" s="6"/>
      <c r="I341">
        <f t="shared" si="19"/>
        <v>85.523671469165492</v>
      </c>
      <c r="J341">
        <f t="shared" si="20"/>
        <v>335.15</v>
      </c>
      <c r="K341">
        <f t="shared" si="21"/>
        <v>2087422.4091813674</v>
      </c>
    </row>
    <row r="342" spans="1:11">
      <c r="A342">
        <v>337</v>
      </c>
      <c r="B342">
        <v>336.15</v>
      </c>
      <c r="C342">
        <v>0.14384796609407291</v>
      </c>
      <c r="D342">
        <v>21.145934115257326</v>
      </c>
      <c r="E342" s="6" t="s">
        <v>13</v>
      </c>
      <c r="F342" s="6" t="s">
        <v>13</v>
      </c>
      <c r="G342" s="6"/>
      <c r="I342">
        <f t="shared" si="19"/>
        <v>85.615203390592711</v>
      </c>
      <c r="J342">
        <f t="shared" si="20"/>
        <v>336.15</v>
      </c>
      <c r="K342">
        <f t="shared" si="21"/>
        <v>2114593.4115257324</v>
      </c>
    </row>
    <row r="343" spans="1:11">
      <c r="A343">
        <v>338</v>
      </c>
      <c r="B343">
        <v>337.15</v>
      </c>
      <c r="C343">
        <v>0.14293645398930979</v>
      </c>
      <c r="D343">
        <v>21.41788866399007</v>
      </c>
      <c r="E343" s="6" t="s">
        <v>13</v>
      </c>
      <c r="F343" s="6" t="s">
        <v>13</v>
      </c>
      <c r="G343" s="6"/>
      <c r="I343">
        <f t="shared" si="19"/>
        <v>85.706354601069023</v>
      </c>
      <c r="J343">
        <f t="shared" si="20"/>
        <v>337.15</v>
      </c>
      <c r="K343">
        <f t="shared" si="21"/>
        <v>2141788.8663990069</v>
      </c>
    </row>
    <row r="344" spans="1:11">
      <c r="A344">
        <v>339</v>
      </c>
      <c r="B344">
        <v>338.15</v>
      </c>
      <c r="C344">
        <v>0.14202895221892847</v>
      </c>
      <c r="D344">
        <v>21.69005333253164</v>
      </c>
      <c r="E344" s="6" t="s">
        <v>13</v>
      </c>
      <c r="F344" s="6" t="s">
        <v>13</v>
      </c>
      <c r="G344" s="6"/>
      <c r="I344">
        <f t="shared" si="19"/>
        <v>85.797104778107155</v>
      </c>
      <c r="J344">
        <f t="shared" si="20"/>
        <v>338.15</v>
      </c>
      <c r="K344">
        <f t="shared" si="21"/>
        <v>2169005.3332531638</v>
      </c>
    </row>
    <row r="345" spans="1:11">
      <c r="A345">
        <v>340</v>
      </c>
      <c r="B345">
        <v>339.15</v>
      </c>
      <c r="C345">
        <v>0.14112566400780174</v>
      </c>
      <c r="D345">
        <v>21.962393715401777</v>
      </c>
      <c r="E345" s="6" t="s">
        <v>13</v>
      </c>
      <c r="F345" s="6" t="s">
        <v>13</v>
      </c>
      <c r="G345" s="6"/>
      <c r="I345">
        <f t="shared" si="19"/>
        <v>85.887433599219818</v>
      </c>
      <c r="J345">
        <f t="shared" si="20"/>
        <v>339.15</v>
      </c>
      <c r="K345">
        <f t="shared" si="21"/>
        <v>2196239.3715401776</v>
      </c>
    </row>
    <row r="346" spans="1:11">
      <c r="A346">
        <v>341</v>
      </c>
      <c r="B346">
        <v>340.15</v>
      </c>
      <c r="C346">
        <v>0.14022679258080237</v>
      </c>
      <c r="D346">
        <v>22.234875407120214</v>
      </c>
      <c r="E346" s="6" t="s">
        <v>13</v>
      </c>
      <c r="F346" s="6" t="s">
        <v>13</v>
      </c>
      <c r="G346" s="6"/>
      <c r="I346">
        <f t="shared" si="19"/>
        <v>85.977320741919755</v>
      </c>
      <c r="J346">
        <f t="shared" si="20"/>
        <v>340.15</v>
      </c>
      <c r="K346">
        <f t="shared" si="21"/>
        <v>2223487.5407120213</v>
      </c>
    </row>
    <row r="347" spans="1:11">
      <c r="A347">
        <v>342</v>
      </c>
      <c r="B347">
        <v>341.15</v>
      </c>
      <c r="C347">
        <v>0.13933254116280294</v>
      </c>
      <c r="D347">
        <v>22.507464002206689</v>
      </c>
      <c r="E347" s="6" t="s">
        <v>13</v>
      </c>
      <c r="F347" s="6" t="s">
        <v>13</v>
      </c>
      <c r="G347" s="6"/>
      <c r="I347">
        <f t="shared" si="19"/>
        <v>86.066745883719705</v>
      </c>
      <c r="J347">
        <f t="shared" si="20"/>
        <v>341.15</v>
      </c>
      <c r="K347">
        <f t="shared" si="21"/>
        <v>2250746.4002206689</v>
      </c>
    </row>
    <row r="348" spans="1:11">
      <c r="A348">
        <v>343</v>
      </c>
      <c r="B348">
        <v>342.15</v>
      </c>
      <c r="C348">
        <v>0.13844311297867642</v>
      </c>
      <c r="D348">
        <v>22.780125095180935</v>
      </c>
      <c r="E348" s="6" t="s">
        <v>13</v>
      </c>
      <c r="F348" s="6" t="s">
        <v>13</v>
      </c>
      <c r="G348" s="6"/>
      <c r="I348">
        <f t="shared" si="19"/>
        <v>86.155688702132366</v>
      </c>
      <c r="J348">
        <f t="shared" si="20"/>
        <v>342.15</v>
      </c>
      <c r="K348">
        <f t="shared" si="21"/>
        <v>2278012.5095180934</v>
      </c>
    </row>
    <row r="349" spans="1:11">
      <c r="A349">
        <v>344</v>
      </c>
      <c r="B349">
        <v>343.15</v>
      </c>
      <c r="C349">
        <v>0.13755871125329538</v>
      </c>
      <c r="D349">
        <v>23.052824280562682</v>
      </c>
      <c r="E349" s="6" t="s">
        <v>13</v>
      </c>
      <c r="F349" s="6" t="s">
        <v>13</v>
      </c>
      <c r="G349" s="6"/>
      <c r="I349">
        <f t="shared" si="19"/>
        <v>86.244128874670452</v>
      </c>
      <c r="J349">
        <f t="shared" si="20"/>
        <v>343.15</v>
      </c>
      <c r="K349">
        <f t="shared" si="21"/>
        <v>2305282.428056268</v>
      </c>
    </row>
    <row r="350" spans="1:11">
      <c r="A350">
        <v>345</v>
      </c>
      <c r="B350">
        <v>344.15</v>
      </c>
      <c r="C350">
        <v>0.13667953921153264</v>
      </c>
      <c r="D350">
        <v>23.325527152871683</v>
      </c>
      <c r="E350" s="6" t="s">
        <v>13</v>
      </c>
      <c r="F350" s="6" t="s">
        <v>13</v>
      </c>
      <c r="G350" s="6"/>
      <c r="I350">
        <f t="shared" si="19"/>
        <v>86.33204607884673</v>
      </c>
      <c r="J350">
        <f t="shared" si="20"/>
        <v>344.15</v>
      </c>
      <c r="K350">
        <f t="shared" si="21"/>
        <v>2332552.715287168</v>
      </c>
    </row>
    <row r="351" spans="1:11">
      <c r="A351">
        <v>346</v>
      </c>
      <c r="B351">
        <v>345.15</v>
      </c>
      <c r="C351">
        <v>0.13580580007826093</v>
      </c>
      <c r="D351">
        <v>23.598199306627652</v>
      </c>
      <c r="E351" s="6" t="s">
        <v>13</v>
      </c>
      <c r="F351" s="6" t="s">
        <v>13</v>
      </c>
      <c r="G351" s="6"/>
      <c r="I351">
        <f t="shared" si="19"/>
        <v>86.419419992173914</v>
      </c>
      <c r="J351">
        <f t="shared" si="20"/>
        <v>345.15</v>
      </c>
      <c r="K351">
        <f t="shared" si="21"/>
        <v>2359819.9306627652</v>
      </c>
    </row>
    <row r="352" spans="1:11">
      <c r="A352">
        <v>347</v>
      </c>
      <c r="B352">
        <v>346.15</v>
      </c>
      <c r="C352">
        <v>0.13493769707835296</v>
      </c>
      <c r="D352">
        <v>23.870806336350341</v>
      </c>
      <c r="E352" s="6" t="s">
        <v>13</v>
      </c>
      <c r="F352" s="6" t="s">
        <v>13</v>
      </c>
      <c r="G352" s="6"/>
      <c r="I352">
        <f t="shared" si="19"/>
        <v>86.506230292164716</v>
      </c>
      <c r="J352">
        <f t="shared" si="20"/>
        <v>346.15</v>
      </c>
      <c r="K352">
        <f t="shared" si="21"/>
        <v>2387080.6336350343</v>
      </c>
    </row>
    <row r="353" spans="1:11">
      <c r="A353">
        <v>348</v>
      </c>
      <c r="B353">
        <v>347.15</v>
      </c>
      <c r="C353">
        <v>0.13407543343668149</v>
      </c>
      <c r="D353">
        <v>24.143313836559475</v>
      </c>
      <c r="E353" s="6" t="s">
        <v>13</v>
      </c>
      <c r="F353" s="6" t="s">
        <v>13</v>
      </c>
      <c r="G353" s="6"/>
      <c r="I353">
        <f t="shared" si="19"/>
        <v>86.592456656331848</v>
      </c>
      <c r="J353">
        <f t="shared" si="20"/>
        <v>347.15</v>
      </c>
      <c r="K353">
        <f t="shared" si="21"/>
        <v>2414331.3836559476</v>
      </c>
    </row>
    <row r="354" spans="1:11">
      <c r="A354">
        <v>349</v>
      </c>
      <c r="B354">
        <v>348.15</v>
      </c>
      <c r="C354">
        <v>0.13321921237811929</v>
      </c>
      <c r="D354">
        <v>24.415687401774793</v>
      </c>
      <c r="E354" s="6" t="s">
        <v>13</v>
      </c>
      <c r="F354" s="6" t="s">
        <v>13</v>
      </c>
      <c r="G354" s="6"/>
      <c r="I354">
        <f t="shared" si="19"/>
        <v>86.678078762188065</v>
      </c>
      <c r="J354">
        <f t="shared" si="20"/>
        <v>348.15</v>
      </c>
      <c r="K354">
        <f t="shared" si="21"/>
        <v>2441568.7401774791</v>
      </c>
    </row>
    <row r="355" spans="1:11">
      <c r="A355">
        <v>350</v>
      </c>
      <c r="B355">
        <v>349.15</v>
      </c>
      <c r="C355">
        <v>0.13236923712753909</v>
      </c>
      <c r="D355">
        <v>24.687892626516035</v>
      </c>
      <c r="E355" s="6" t="s">
        <v>13</v>
      </c>
      <c r="F355" s="6" t="s">
        <v>13</v>
      </c>
      <c r="G355" s="6"/>
      <c r="I355">
        <f t="shared" si="19"/>
        <v>86.763076287246093</v>
      </c>
      <c r="J355">
        <f t="shared" si="20"/>
        <v>349.15</v>
      </c>
      <c r="K355">
        <f t="shared" si="21"/>
        <v>2468789.2626516037</v>
      </c>
    </row>
    <row r="356" spans="1:11">
      <c r="A356">
        <v>351</v>
      </c>
      <c r="B356">
        <v>350.15</v>
      </c>
      <c r="C356">
        <v>0.13152571090981363</v>
      </c>
      <c r="D356">
        <v>24.959895105302934</v>
      </c>
      <c r="E356" s="6" t="s">
        <v>13</v>
      </c>
      <c r="F356" s="6" t="s">
        <v>13</v>
      </c>
      <c r="G356" s="6"/>
      <c r="I356">
        <f t="shared" si="19"/>
        <v>86.847428909018646</v>
      </c>
      <c r="J356">
        <f t="shared" si="20"/>
        <v>350.15</v>
      </c>
      <c r="K356">
        <f t="shared" si="21"/>
        <v>2495989.5105302935</v>
      </c>
    </row>
    <row r="357" spans="1:11">
      <c r="A357">
        <v>352</v>
      </c>
      <c r="B357">
        <v>351.15</v>
      </c>
      <c r="C357">
        <v>0.13068883694981562</v>
      </c>
      <c r="D357">
        <v>25.231660432655225</v>
      </c>
      <c r="E357" s="6" t="s">
        <v>13</v>
      </c>
      <c r="F357" s="6" t="s">
        <v>13</v>
      </c>
      <c r="G357" s="6"/>
      <c r="I357">
        <f t="shared" si="19"/>
        <v>86.931116305018435</v>
      </c>
      <c r="J357">
        <f t="shared" si="20"/>
        <v>351.15</v>
      </c>
      <c r="K357">
        <f t="shared" si="21"/>
        <v>2523166.0432655225</v>
      </c>
    </row>
    <row r="358" spans="1:11">
      <c r="A358">
        <v>353</v>
      </c>
      <c r="B358">
        <v>352.15</v>
      </c>
      <c r="C358">
        <v>0.12985881847241781</v>
      </c>
      <c r="D358">
        <v>25.503154203092638</v>
      </c>
      <c r="E358" s="6" t="s">
        <v>13</v>
      </c>
      <c r="F358" s="6" t="s">
        <v>13</v>
      </c>
      <c r="G358" s="6"/>
      <c r="I358">
        <f t="shared" si="19"/>
        <v>87.014118152758215</v>
      </c>
      <c r="J358">
        <f t="shared" si="20"/>
        <v>352.15</v>
      </c>
      <c r="K358">
        <f t="shared" si="21"/>
        <v>2550315.4203092637</v>
      </c>
    </row>
    <row r="359" spans="1:11">
      <c r="A359">
        <v>354</v>
      </c>
      <c r="B359">
        <v>353.15</v>
      </c>
      <c r="C359">
        <v>0.12903585870249296</v>
      </c>
      <c r="D359">
        <v>25.77434201113492</v>
      </c>
      <c r="E359" s="6" t="s">
        <v>13</v>
      </c>
      <c r="F359" s="6" t="s">
        <v>13</v>
      </c>
      <c r="G359" s="6"/>
      <c r="I359">
        <f t="shared" si="19"/>
        <v>87.096414129750713</v>
      </c>
      <c r="J359">
        <f t="shared" si="20"/>
        <v>353.15</v>
      </c>
      <c r="K359">
        <f t="shared" si="21"/>
        <v>2577434.2011134918</v>
      </c>
    </row>
    <row r="360" spans="1:11">
      <c r="A360">
        <v>355</v>
      </c>
      <c r="B360">
        <v>354.15</v>
      </c>
      <c r="C360">
        <v>0.12822016086491381</v>
      </c>
      <c r="D360">
        <v>26.045189451301802</v>
      </c>
      <c r="E360" s="6" t="s">
        <v>13</v>
      </c>
      <c r="F360" s="6" t="s">
        <v>13</v>
      </c>
      <c r="G360" s="6"/>
      <c r="I360">
        <f t="shared" si="19"/>
        <v>87.177983913508612</v>
      </c>
      <c r="J360">
        <f t="shared" si="20"/>
        <v>354.15</v>
      </c>
      <c r="K360">
        <f t="shared" si="21"/>
        <v>2604518.9451301801</v>
      </c>
    </row>
    <row r="361" spans="1:11">
      <c r="A361">
        <v>356</v>
      </c>
      <c r="B361">
        <v>355.15</v>
      </c>
      <c r="C361">
        <v>0.1274119281845531</v>
      </c>
      <c r="D361">
        <v>26.315662118113014</v>
      </c>
      <c r="E361" s="6" t="s">
        <v>13</v>
      </c>
      <c r="F361" s="6" t="s">
        <v>13</v>
      </c>
      <c r="G361" s="6"/>
      <c r="I361">
        <f t="shared" si="19"/>
        <v>87.258807181544682</v>
      </c>
      <c r="J361">
        <f t="shared" si="20"/>
        <v>355.15</v>
      </c>
      <c r="K361">
        <f t="shared" si="21"/>
        <v>2631566.2118113013</v>
      </c>
    </row>
    <row r="362" spans="1:11">
      <c r="A362">
        <v>357</v>
      </c>
      <c r="B362">
        <v>356.15</v>
      </c>
      <c r="C362">
        <v>0.12661136388628358</v>
      </c>
      <c r="D362">
        <v>26.585725606088296</v>
      </c>
      <c r="E362" s="6" t="s">
        <v>13</v>
      </c>
      <c r="F362" s="6" t="s">
        <v>13</v>
      </c>
      <c r="G362" s="6"/>
      <c r="I362">
        <f t="shared" si="19"/>
        <v>87.338863611371636</v>
      </c>
      <c r="J362">
        <f t="shared" si="20"/>
        <v>356.15</v>
      </c>
      <c r="K362">
        <f t="shared" si="21"/>
        <v>2658572.5606088298</v>
      </c>
    </row>
    <row r="363" spans="1:11">
      <c r="A363">
        <v>358</v>
      </c>
      <c r="B363">
        <v>357.15</v>
      </c>
      <c r="C363">
        <v>0.125818671194978</v>
      </c>
      <c r="D363">
        <v>26.855345509747391</v>
      </c>
      <c r="E363" s="6" t="s">
        <v>13</v>
      </c>
      <c r="F363" s="6" t="s">
        <v>13</v>
      </c>
      <c r="G363" s="6"/>
      <c r="I363">
        <f t="shared" si="19"/>
        <v>87.418132880502199</v>
      </c>
      <c r="J363">
        <f t="shared" si="20"/>
        <v>357.15</v>
      </c>
      <c r="K363">
        <f t="shared" si="21"/>
        <v>2685534.5509747392</v>
      </c>
    </row>
    <row r="364" spans="1:11">
      <c r="A364">
        <v>359</v>
      </c>
      <c r="B364">
        <v>358.15</v>
      </c>
      <c r="C364">
        <v>0.12503405333550907</v>
      </c>
      <c r="D364">
        <v>27.124487423610017</v>
      </c>
      <c r="E364" s="6" t="s">
        <v>13</v>
      </c>
      <c r="F364" s="6" t="s">
        <v>13</v>
      </c>
      <c r="G364" s="6"/>
      <c r="I364">
        <f t="shared" si="19"/>
        <v>87.496594666449084</v>
      </c>
      <c r="J364">
        <f t="shared" si="20"/>
        <v>358.15</v>
      </c>
      <c r="K364">
        <f t="shared" si="21"/>
        <v>2712448.7423610017</v>
      </c>
    </row>
    <row r="365" spans="1:11">
      <c r="A365">
        <v>360</v>
      </c>
      <c r="B365">
        <v>359.15</v>
      </c>
      <c r="C365">
        <v>0.12425771353274952</v>
      </c>
      <c r="D365">
        <v>27.393116942195924</v>
      </c>
      <c r="E365" s="6" t="s">
        <v>13</v>
      </c>
      <c r="F365" s="6" t="s">
        <v>13</v>
      </c>
      <c r="G365" s="6"/>
      <c r="I365">
        <f t="shared" si="19"/>
        <v>87.574228646725047</v>
      </c>
      <c r="J365">
        <f t="shared" si="20"/>
        <v>359.15</v>
      </c>
      <c r="K365">
        <f t="shared" si="21"/>
        <v>2739311.6942195925</v>
      </c>
    </row>
    <row r="366" spans="1:11">
      <c r="A366">
        <v>361</v>
      </c>
      <c r="B366">
        <v>360.15</v>
      </c>
      <c r="C366">
        <v>0.12348985501157214</v>
      </c>
      <c r="D366">
        <v>27.661199660024845</v>
      </c>
      <c r="E366" s="6" t="s">
        <v>13</v>
      </c>
      <c r="F366" s="6" t="s">
        <v>13</v>
      </c>
      <c r="G366" s="6"/>
      <c r="I366">
        <f t="shared" si="19"/>
        <v>87.651014498842784</v>
      </c>
      <c r="J366">
        <f t="shared" si="20"/>
        <v>360.15</v>
      </c>
      <c r="K366">
        <f t="shared" si="21"/>
        <v>2766119.9660024843</v>
      </c>
    </row>
    <row r="367" spans="1:11">
      <c r="A367">
        <v>362</v>
      </c>
      <c r="B367">
        <v>361.15</v>
      </c>
      <c r="C367">
        <v>0.12273068099684963</v>
      </c>
      <c r="D367">
        <v>27.92870117161651</v>
      </c>
      <c r="E367" s="6" t="s">
        <v>13</v>
      </c>
      <c r="F367" s="6" t="s">
        <v>13</v>
      </c>
      <c r="G367" s="6"/>
      <c r="I367">
        <f t="shared" si="19"/>
        <v>87.726931900315037</v>
      </c>
      <c r="J367">
        <f t="shared" si="20"/>
        <v>361.15</v>
      </c>
      <c r="K367">
        <f t="shared" si="21"/>
        <v>2792870.1171616511</v>
      </c>
    </row>
    <row r="368" spans="1:11">
      <c r="A368">
        <v>363</v>
      </c>
      <c r="B368">
        <v>362.15</v>
      </c>
      <c r="C368">
        <v>0.12198039471345476</v>
      </c>
      <c r="D368">
        <v>28.19558707149066</v>
      </c>
      <c r="E368" s="6" t="s">
        <v>13</v>
      </c>
      <c r="F368" s="6" t="s">
        <v>13</v>
      </c>
      <c r="G368" s="6"/>
      <c r="I368">
        <f t="shared" si="19"/>
        <v>87.801960528654519</v>
      </c>
      <c r="J368">
        <f t="shared" si="20"/>
        <v>362.15</v>
      </c>
      <c r="K368">
        <f t="shared" si="21"/>
        <v>2819558.707149066</v>
      </c>
    </row>
    <row r="369" spans="1:11">
      <c r="A369">
        <v>364</v>
      </c>
      <c r="B369">
        <v>363.15</v>
      </c>
      <c r="C369">
        <v>0.12123919938626029</v>
      </c>
      <c r="D369">
        <v>28.46182295416703</v>
      </c>
      <c r="E369" s="6" t="s">
        <v>13</v>
      </c>
      <c r="F369" s="6" t="s">
        <v>13</v>
      </c>
      <c r="G369" s="6"/>
      <c r="I369">
        <f t="shared" si="19"/>
        <v>87.876080061373969</v>
      </c>
      <c r="J369">
        <f t="shared" si="20"/>
        <v>363.15</v>
      </c>
      <c r="K369">
        <f t="shared" si="21"/>
        <v>2846182.295416703</v>
      </c>
    </row>
    <row r="370" spans="1:11">
      <c r="A370">
        <v>365</v>
      </c>
      <c r="B370">
        <v>364.15</v>
      </c>
      <c r="C370">
        <v>0.12050729824013891</v>
      </c>
      <c r="D370">
        <v>28.727374414165357</v>
      </c>
      <c r="E370" s="6" t="s">
        <v>13</v>
      </c>
      <c r="F370" s="6" t="s">
        <v>13</v>
      </c>
      <c r="G370" s="6"/>
      <c r="I370">
        <f t="shared" si="19"/>
        <v>87.949270175986101</v>
      </c>
      <c r="J370">
        <f t="shared" si="20"/>
        <v>364.15</v>
      </c>
      <c r="K370">
        <f t="shared" si="21"/>
        <v>2872737.4414165355</v>
      </c>
    </row>
    <row r="371" spans="1:11">
      <c r="A371">
        <v>366</v>
      </c>
      <c r="B371">
        <v>365.15</v>
      </c>
      <c r="C371">
        <v>0.11978489449996341</v>
      </c>
      <c r="D371">
        <v>28.99220704600538</v>
      </c>
      <c r="E371" s="6" t="s">
        <v>13</v>
      </c>
      <c r="F371" s="6" t="s">
        <v>13</v>
      </c>
      <c r="G371" s="6"/>
      <c r="I371">
        <f t="shared" si="19"/>
        <v>88.021510550003654</v>
      </c>
      <c r="J371">
        <f t="shared" si="20"/>
        <v>365.15</v>
      </c>
      <c r="K371">
        <f t="shared" si="21"/>
        <v>2899220.7046005381</v>
      </c>
    </row>
    <row r="372" spans="1:11">
      <c r="A372">
        <v>367</v>
      </c>
      <c r="B372">
        <v>366.15</v>
      </c>
      <c r="C372">
        <v>0.11907219139060646</v>
      </c>
      <c r="D372">
        <v>29.256286444206822</v>
      </c>
      <c r="E372" s="6" t="s">
        <v>13</v>
      </c>
      <c r="F372" s="6" t="s">
        <v>13</v>
      </c>
      <c r="G372" s="6"/>
      <c r="I372">
        <f t="shared" si="19"/>
        <v>88.092780860939357</v>
      </c>
      <c r="J372">
        <f t="shared" si="20"/>
        <v>366.15</v>
      </c>
      <c r="K372">
        <f t="shared" si="21"/>
        <v>2925628.644420682</v>
      </c>
    </row>
    <row r="373" spans="1:11">
      <c r="A373">
        <v>368</v>
      </c>
      <c r="B373">
        <v>367.15</v>
      </c>
      <c r="C373">
        <v>0.11836939213694087</v>
      </c>
      <c r="D373">
        <v>29.519578203289427</v>
      </c>
      <c r="E373" s="6" t="s">
        <v>13</v>
      </c>
      <c r="F373" s="6" t="s">
        <v>13</v>
      </c>
      <c r="G373" s="6"/>
      <c r="I373">
        <f t="shared" si="19"/>
        <v>88.16306078630592</v>
      </c>
      <c r="J373">
        <f t="shared" si="20"/>
        <v>367.15</v>
      </c>
      <c r="K373">
        <f t="shared" si="21"/>
        <v>2951957.8203289425</v>
      </c>
    </row>
    <row r="374" spans="1:11">
      <c r="A374">
        <v>369</v>
      </c>
      <c r="B374">
        <v>368.15</v>
      </c>
      <c r="C374">
        <v>0.11767669996383935</v>
      </c>
      <c r="D374">
        <v>29.782047917772928</v>
      </c>
      <c r="E374" s="6" t="s">
        <v>13</v>
      </c>
      <c r="F374" s="6" t="s">
        <v>13</v>
      </c>
      <c r="G374" s="6"/>
      <c r="I374">
        <f t="shared" si="19"/>
        <v>88.23233000361607</v>
      </c>
      <c r="J374">
        <f t="shared" si="20"/>
        <v>368.15</v>
      </c>
      <c r="K374">
        <f t="shared" si="21"/>
        <v>2978204.7917772927</v>
      </c>
    </row>
    <row r="375" spans="1:11">
      <c r="A375">
        <v>370</v>
      </c>
      <c r="B375">
        <v>369.15</v>
      </c>
      <c r="C375">
        <v>0.11699431809617467</v>
      </c>
      <c r="D375">
        <v>30.043661182177058</v>
      </c>
      <c r="E375" s="6" t="s">
        <v>13</v>
      </c>
      <c r="F375" s="6" t="s">
        <v>13</v>
      </c>
      <c r="G375" s="6"/>
      <c r="I375">
        <f t="shared" si="19"/>
        <v>88.300568190382535</v>
      </c>
      <c r="J375">
        <f t="shared" si="20"/>
        <v>369.15</v>
      </c>
      <c r="K375">
        <f t="shared" si="21"/>
        <v>3004366.1182177057</v>
      </c>
    </row>
    <row r="376" spans="1:11">
      <c r="A376">
        <v>371</v>
      </c>
      <c r="B376">
        <v>370.15</v>
      </c>
      <c r="C376">
        <v>0.11632244975881956</v>
      </c>
      <c r="D376">
        <v>30.304383591021562</v>
      </c>
      <c r="E376" s="6" t="s">
        <v>13</v>
      </c>
      <c r="F376" s="6" t="s">
        <v>13</v>
      </c>
      <c r="G376" s="6"/>
      <c r="I376">
        <f t="shared" si="19"/>
        <v>88.36775502411804</v>
      </c>
      <c r="J376">
        <f t="shared" si="20"/>
        <v>370.15</v>
      </c>
      <c r="K376">
        <f t="shared" si="21"/>
        <v>3030438.359102156</v>
      </c>
    </row>
    <row r="377" spans="1:11">
      <c r="A377">
        <v>372</v>
      </c>
      <c r="B377">
        <v>371.15</v>
      </c>
      <c r="C377">
        <v>0.11566129817664675</v>
      </c>
      <c r="D377">
        <v>30.56418073882617</v>
      </c>
      <c r="E377" s="6" t="s">
        <v>13</v>
      </c>
      <c r="F377" s="6" t="s">
        <v>13</v>
      </c>
      <c r="G377" s="6"/>
      <c r="I377">
        <f t="shared" si="19"/>
        <v>88.433870182335326</v>
      </c>
      <c r="J377">
        <f t="shared" si="20"/>
        <v>371.15</v>
      </c>
      <c r="K377">
        <f t="shared" si="21"/>
        <v>3056418.0738826171</v>
      </c>
    </row>
    <row r="378" spans="1:11">
      <c r="A378">
        <v>373</v>
      </c>
      <c r="B378">
        <v>372.15</v>
      </c>
      <c r="C378">
        <v>0.11501106657452898</v>
      </c>
      <c r="D378">
        <v>30.823018220110619</v>
      </c>
      <c r="E378" s="6" t="s">
        <v>13</v>
      </c>
      <c r="F378" s="6" t="s">
        <v>13</v>
      </c>
      <c r="G378" s="6"/>
      <c r="I378">
        <f t="shared" si="19"/>
        <v>88.498893342547106</v>
      </c>
      <c r="J378">
        <f t="shared" si="20"/>
        <v>372.15</v>
      </c>
      <c r="K378">
        <f t="shared" si="21"/>
        <v>3082301.8220110619</v>
      </c>
    </row>
    <row r="379" spans="1:11">
      <c r="A379">
        <v>374</v>
      </c>
      <c r="B379">
        <v>373.15</v>
      </c>
      <c r="C379">
        <v>0.114371958177339</v>
      </c>
      <c r="D379">
        <v>31.080861629394636</v>
      </c>
      <c r="E379" s="6" t="s">
        <v>13</v>
      </c>
      <c r="F379" s="6" t="s">
        <v>13</v>
      </c>
      <c r="G379" s="6"/>
      <c r="I379">
        <f t="shared" si="19"/>
        <v>88.562804182266092</v>
      </c>
      <c r="J379">
        <f t="shared" si="20"/>
        <v>373.15</v>
      </c>
      <c r="K379">
        <f t="shared" si="21"/>
        <v>3108086.1629394637</v>
      </c>
    </row>
    <row r="380" spans="1:11">
      <c r="A380">
        <v>375</v>
      </c>
      <c r="B380">
        <v>374.15</v>
      </c>
      <c r="C380">
        <v>0.11374417620994953</v>
      </c>
      <c r="D380">
        <v>31.337676561197977</v>
      </c>
      <c r="E380" s="6" t="s">
        <v>13</v>
      </c>
      <c r="F380" s="6" t="s">
        <v>13</v>
      </c>
      <c r="G380" s="6"/>
      <c r="I380">
        <f t="shared" si="19"/>
        <v>88.625582379005039</v>
      </c>
      <c r="J380">
        <f t="shared" si="20"/>
        <v>374.15</v>
      </c>
      <c r="K380">
        <f t="shared" si="21"/>
        <v>3133767.6561197978</v>
      </c>
    </row>
    <row r="381" spans="1:11">
      <c r="A381">
        <v>376</v>
      </c>
      <c r="B381">
        <v>375.15</v>
      </c>
      <c r="C381">
        <v>0.11312792389723336</v>
      </c>
      <c r="D381">
        <v>31.593428610040359</v>
      </c>
      <c r="E381" s="6" t="s">
        <v>13</v>
      </c>
      <c r="F381" s="6" t="s">
        <v>13</v>
      </c>
      <c r="G381" s="6"/>
      <c r="I381">
        <f t="shared" si="19"/>
        <v>88.687207610276658</v>
      </c>
      <c r="J381">
        <f t="shared" si="20"/>
        <v>375.15</v>
      </c>
      <c r="K381">
        <f t="shared" si="21"/>
        <v>3159342.8610040359</v>
      </c>
    </row>
    <row r="382" spans="1:11">
      <c r="A382">
        <v>377</v>
      </c>
      <c r="B382">
        <v>376.15</v>
      </c>
      <c r="C382">
        <v>0.1125234044640632</v>
      </c>
      <c r="D382">
        <v>31.848083370441518</v>
      </c>
      <c r="E382" s="6" t="s">
        <v>13</v>
      </c>
      <c r="F382" s="6" t="s">
        <v>13</v>
      </c>
      <c r="G382" s="6"/>
      <c r="I382">
        <f t="shared" si="19"/>
        <v>88.747659553593678</v>
      </c>
      <c r="J382">
        <f t="shared" si="20"/>
        <v>376.15</v>
      </c>
      <c r="K382">
        <f t="shared" si="21"/>
        <v>3184808.337044152</v>
      </c>
    </row>
    <row r="383" spans="1:11">
      <c r="A383">
        <v>378</v>
      </c>
      <c r="B383">
        <v>377.15</v>
      </c>
      <c r="C383">
        <v>0.11193082113531178</v>
      </c>
      <c r="D383">
        <v>32.101606436921202</v>
      </c>
      <c r="E383" s="6" t="s">
        <v>13</v>
      </c>
      <c r="F383" s="6" t="s">
        <v>13</v>
      </c>
      <c r="G383" s="6"/>
      <c r="I383">
        <f t="shared" si="19"/>
        <v>88.806917886468824</v>
      </c>
      <c r="J383">
        <f t="shared" si="20"/>
        <v>377.15</v>
      </c>
      <c r="K383">
        <f t="shared" si="21"/>
        <v>3210160.64369212</v>
      </c>
    </row>
    <row r="384" spans="1:11">
      <c r="A384">
        <v>379</v>
      </c>
      <c r="B384">
        <v>378.15</v>
      </c>
      <c r="C384">
        <v>0.11135037713585186</v>
      </c>
      <c r="D384">
        <v>32.353963403999131</v>
      </c>
      <c r="E384" s="6" t="s">
        <v>13</v>
      </c>
      <c r="F384" s="6" t="s">
        <v>13</v>
      </c>
      <c r="G384" s="6"/>
      <c r="I384">
        <f t="shared" si="19"/>
        <v>88.864962286414823</v>
      </c>
      <c r="J384">
        <f t="shared" si="20"/>
        <v>378.15</v>
      </c>
      <c r="K384">
        <f t="shared" si="21"/>
        <v>3235396.340399913</v>
      </c>
    </row>
    <row r="385" spans="1:11">
      <c r="A385">
        <v>380</v>
      </c>
      <c r="B385">
        <v>379.15</v>
      </c>
      <c r="C385">
        <v>0.11078227569055621</v>
      </c>
      <c r="D385">
        <v>32.605119866195054</v>
      </c>
      <c r="E385" s="6" t="s">
        <v>13</v>
      </c>
      <c r="F385" s="6" t="s">
        <v>13</v>
      </c>
      <c r="G385" s="6"/>
      <c r="I385">
        <f t="shared" si="19"/>
        <v>88.921772430944372</v>
      </c>
      <c r="J385">
        <f t="shared" si="20"/>
        <v>379.15</v>
      </c>
      <c r="K385">
        <f t="shared" si="21"/>
        <v>3260511.9866195056</v>
      </c>
    </row>
    <row r="386" spans="1:11">
      <c r="A386">
        <v>381</v>
      </c>
      <c r="B386">
        <v>380.15</v>
      </c>
      <c r="C386">
        <v>0.11022672002429751</v>
      </c>
      <c r="D386">
        <v>32.855041418028705</v>
      </c>
      <c r="E386" s="6" t="s">
        <v>13</v>
      </c>
      <c r="F386" s="6" t="s">
        <v>13</v>
      </c>
      <c r="G386" s="6"/>
      <c r="I386">
        <f t="shared" si="19"/>
        <v>88.977327997570256</v>
      </c>
      <c r="J386">
        <f t="shared" si="20"/>
        <v>380.15</v>
      </c>
      <c r="K386">
        <f t="shared" si="21"/>
        <v>3285504.1418028707</v>
      </c>
    </row>
    <row r="387" spans="1:11">
      <c r="A387">
        <v>382</v>
      </c>
      <c r="B387">
        <v>381.15</v>
      </c>
      <c r="C387">
        <v>0.10968391336194855</v>
      </c>
      <c r="D387">
        <v>33.103693654019814</v>
      </c>
      <c r="E387" s="6" t="s">
        <v>13</v>
      </c>
      <c r="F387" s="6" t="s">
        <v>13</v>
      </c>
      <c r="G387" s="6"/>
      <c r="I387">
        <f t="shared" si="19"/>
        <v>89.031608663805144</v>
      </c>
      <c r="J387">
        <f t="shared" si="20"/>
        <v>381.15</v>
      </c>
      <c r="K387">
        <f t="shared" si="21"/>
        <v>3310369.3654019814</v>
      </c>
    </row>
    <row r="388" spans="1:11">
      <c r="A388">
        <v>383</v>
      </c>
      <c r="B388">
        <v>382.15</v>
      </c>
      <c r="C388">
        <v>0.10915405892838204</v>
      </c>
      <c r="D388">
        <v>33.351042168688117</v>
      </c>
      <c r="E388" s="6" t="s">
        <v>13</v>
      </c>
      <c r="F388" s="6" t="s">
        <v>13</v>
      </c>
      <c r="G388" s="6"/>
      <c r="I388">
        <f t="shared" si="19"/>
        <v>89.084594107161791</v>
      </c>
      <c r="J388">
        <f t="shared" si="20"/>
        <v>382.15</v>
      </c>
      <c r="K388">
        <f t="shared" si="21"/>
        <v>3335104.2168688118</v>
      </c>
    </row>
    <row r="389" spans="1:11">
      <c r="A389">
        <v>384</v>
      </c>
      <c r="B389">
        <v>383.15</v>
      </c>
      <c r="C389">
        <v>0.10863735994847072</v>
      </c>
      <c r="D389">
        <v>33.597052556553351</v>
      </c>
      <c r="E389" s="6" t="s">
        <v>13</v>
      </c>
      <c r="F389" s="6" t="s">
        <v>13</v>
      </c>
      <c r="G389" s="6"/>
      <c r="I389">
        <f t="shared" si="19"/>
        <v>89.136264005152938</v>
      </c>
      <c r="J389">
        <f t="shared" si="20"/>
        <v>383.15</v>
      </c>
      <c r="K389">
        <f t="shared" si="21"/>
        <v>3359705.2556553353</v>
      </c>
    </row>
    <row r="390" spans="1:11">
      <c r="A390">
        <v>385</v>
      </c>
      <c r="B390">
        <v>384.15</v>
      </c>
      <c r="C390">
        <v>0.10813401964708738</v>
      </c>
      <c r="D390">
        <v>33.841690412135257</v>
      </c>
      <c r="E390" s="6" t="s">
        <v>13</v>
      </c>
      <c r="F390" s="6" t="s">
        <v>13</v>
      </c>
      <c r="G390" s="6"/>
      <c r="I390">
        <f t="shared" si="19"/>
        <v>89.186598035291269</v>
      </c>
      <c r="J390">
        <f t="shared" si="20"/>
        <v>384.15</v>
      </c>
      <c r="K390">
        <f t="shared" si="21"/>
        <v>3384169.0412135259</v>
      </c>
    </row>
    <row r="391" spans="1:11">
      <c r="A391">
        <v>386</v>
      </c>
      <c r="B391">
        <v>385.15</v>
      </c>
      <c r="C391">
        <v>0.10764424124910471</v>
      </c>
      <c r="D391">
        <v>34.084921329953566</v>
      </c>
      <c r="E391" s="6" t="s">
        <v>13</v>
      </c>
      <c r="F391" s="6" t="s">
        <v>13</v>
      </c>
      <c r="G391" s="6"/>
      <c r="I391">
        <f t="shared" ref="I391:I407" si="22">(1-C391)*100</f>
        <v>89.235575875089523</v>
      </c>
      <c r="J391">
        <f t="shared" ref="J391:J407" si="23">B391</f>
        <v>385.15</v>
      </c>
      <c r="K391">
        <f t="shared" ref="K391:K407" si="24">D391*100000</f>
        <v>3408492.1329953568</v>
      </c>
    </row>
    <row r="392" spans="1:11">
      <c r="A392">
        <v>387</v>
      </c>
      <c r="B392">
        <v>386.15</v>
      </c>
      <c r="C392">
        <v>0.10716822797939549</v>
      </c>
      <c r="D392">
        <v>34.326710904528014</v>
      </c>
      <c r="E392" s="6" t="s">
        <v>13</v>
      </c>
      <c r="F392" s="6" t="s">
        <v>13</v>
      </c>
      <c r="G392" s="6"/>
      <c r="I392">
        <f t="shared" si="22"/>
        <v>89.283177202060443</v>
      </c>
      <c r="J392">
        <f t="shared" si="23"/>
        <v>386.15</v>
      </c>
      <c r="K392">
        <f t="shared" si="24"/>
        <v>3432671.0904528014</v>
      </c>
    </row>
    <row r="393" spans="1:11">
      <c r="A393">
        <v>388</v>
      </c>
      <c r="B393">
        <v>387.15</v>
      </c>
      <c r="C393">
        <v>0.10670618306283242</v>
      </c>
      <c r="D393">
        <v>34.567024730378336</v>
      </c>
      <c r="E393" s="6" t="s">
        <v>13</v>
      </c>
      <c r="F393" s="6" t="s">
        <v>13</v>
      </c>
      <c r="G393" s="6"/>
      <c r="I393">
        <f t="shared" si="22"/>
        <v>89.329381693716755</v>
      </c>
      <c r="J393">
        <f t="shared" si="23"/>
        <v>387.15</v>
      </c>
      <c r="K393">
        <f t="shared" si="24"/>
        <v>3456702.4730378333</v>
      </c>
    </row>
    <row r="394" spans="1:11">
      <c r="A394">
        <v>389</v>
      </c>
      <c r="B394">
        <v>388.15</v>
      </c>
      <c r="C394">
        <v>0.10625830972428826</v>
      </c>
      <c r="D394">
        <v>34.805828402024261</v>
      </c>
      <c r="E394" s="6" t="s">
        <v>13</v>
      </c>
      <c r="F394" s="6" t="s">
        <v>13</v>
      </c>
      <c r="G394" s="6"/>
      <c r="I394">
        <f t="shared" si="22"/>
        <v>89.37416902757117</v>
      </c>
      <c r="J394">
        <f t="shared" si="23"/>
        <v>388.15</v>
      </c>
      <c r="K394">
        <f t="shared" si="24"/>
        <v>3480582.8402024261</v>
      </c>
    </row>
    <row r="395" spans="1:11">
      <c r="A395">
        <v>390</v>
      </c>
      <c r="B395">
        <v>389.15</v>
      </c>
      <c r="C395">
        <v>0.10582481118863576</v>
      </c>
      <c r="D395">
        <v>35.043087513985526</v>
      </c>
      <c r="E395" s="6" t="s">
        <v>13</v>
      </c>
      <c r="F395" s="6" t="s">
        <v>13</v>
      </c>
      <c r="G395" s="6"/>
      <c r="I395">
        <f t="shared" si="22"/>
        <v>89.417518881136431</v>
      </c>
      <c r="J395">
        <f t="shared" si="23"/>
        <v>389.15</v>
      </c>
      <c r="K395">
        <f t="shared" si="24"/>
        <v>3504308.7513985527</v>
      </c>
    </row>
    <row r="396" spans="1:11">
      <c r="A396">
        <v>391</v>
      </c>
      <c r="B396">
        <v>390.15</v>
      </c>
      <c r="C396">
        <v>0.10540589068074765</v>
      </c>
      <c r="D396">
        <v>35.278767660781888</v>
      </c>
      <c r="E396" s="6" t="s">
        <v>13</v>
      </c>
      <c r="F396" s="6" t="s">
        <v>13</v>
      </c>
      <c r="G396" s="6"/>
      <c r="I396">
        <f t="shared" si="22"/>
        <v>89.459410931925234</v>
      </c>
      <c r="J396">
        <f t="shared" si="23"/>
        <v>390.15</v>
      </c>
      <c r="K396">
        <f t="shared" si="24"/>
        <v>3527876.766078189</v>
      </c>
    </row>
    <row r="397" spans="1:11">
      <c r="A397">
        <v>392</v>
      </c>
      <c r="B397">
        <v>391.15</v>
      </c>
      <c r="C397">
        <v>0.10500175142549671</v>
      </c>
      <c r="D397">
        <v>35.512834436933055</v>
      </c>
      <c r="E397" s="6" t="s">
        <v>13</v>
      </c>
      <c r="F397" s="6" t="s">
        <v>13</v>
      </c>
      <c r="G397" s="6"/>
      <c r="I397">
        <f t="shared" si="22"/>
        <v>89.499824857450321</v>
      </c>
      <c r="J397">
        <f t="shared" si="23"/>
        <v>391.15</v>
      </c>
      <c r="K397">
        <f t="shared" si="24"/>
        <v>3551283.4436933054</v>
      </c>
    </row>
    <row r="398" spans="1:11">
      <c r="A398">
        <v>393</v>
      </c>
      <c r="B398">
        <v>392.15</v>
      </c>
      <c r="C398">
        <v>0.10461259664775562</v>
      </c>
      <c r="D398">
        <v>35.745253436958784</v>
      </c>
      <c r="E398" s="6" t="s">
        <v>13</v>
      </c>
      <c r="F398" s="6" t="s">
        <v>13</v>
      </c>
      <c r="G398" s="6"/>
      <c r="I398">
        <f t="shared" si="22"/>
        <v>89.538740335224446</v>
      </c>
      <c r="J398">
        <f t="shared" si="23"/>
        <v>392.15</v>
      </c>
      <c r="K398">
        <f t="shared" si="24"/>
        <v>3574525.3436958785</v>
      </c>
    </row>
    <row r="399" spans="1:11">
      <c r="A399">
        <v>394</v>
      </c>
      <c r="B399">
        <v>393.15</v>
      </c>
      <c r="C399">
        <v>0.10423862957239718</v>
      </c>
      <c r="D399">
        <v>35.97599025537879</v>
      </c>
      <c r="E399" s="6" t="s">
        <v>13</v>
      </c>
      <c r="F399" s="6" t="s">
        <v>13</v>
      </c>
      <c r="G399" s="6"/>
      <c r="I399">
        <f t="shared" si="22"/>
        <v>89.57613704276028</v>
      </c>
      <c r="J399">
        <f t="shared" si="23"/>
        <v>393.15</v>
      </c>
      <c r="K399">
        <f t="shared" si="24"/>
        <v>3597599.0255378787</v>
      </c>
    </row>
    <row r="400" spans="1:11">
      <c r="A400">
        <v>395</v>
      </c>
      <c r="B400">
        <v>394.15</v>
      </c>
      <c r="C400">
        <v>0.10388005342429407</v>
      </c>
      <c r="D400">
        <v>36.20501048671283</v>
      </c>
      <c r="E400" s="6" t="s">
        <v>13</v>
      </c>
      <c r="F400" s="6" t="s">
        <v>13</v>
      </c>
      <c r="G400" s="6"/>
      <c r="I400">
        <f t="shared" si="22"/>
        <v>89.611994657570591</v>
      </c>
      <c r="J400">
        <f t="shared" si="23"/>
        <v>394.15</v>
      </c>
      <c r="K400">
        <f t="shared" si="24"/>
        <v>3620501.0486712828</v>
      </c>
    </row>
    <row r="401" spans="1:11">
      <c r="A401">
        <v>396</v>
      </c>
      <c r="B401">
        <v>395.15</v>
      </c>
      <c r="C401">
        <v>0.10353707142831908</v>
      </c>
      <c r="D401">
        <v>36.432279725480626</v>
      </c>
      <c r="E401" s="6" t="s">
        <v>13</v>
      </c>
      <c r="F401" s="6" t="s">
        <v>13</v>
      </c>
      <c r="G401" s="6"/>
      <c r="I401">
        <f t="shared" si="22"/>
        <v>89.646292857168092</v>
      </c>
      <c r="J401">
        <f t="shared" si="23"/>
        <v>395.15</v>
      </c>
      <c r="K401">
        <f t="shared" si="24"/>
        <v>3643227.9725480624</v>
      </c>
    </row>
    <row r="402" spans="1:11">
      <c r="A402">
        <v>397</v>
      </c>
      <c r="B402">
        <v>396.15</v>
      </c>
      <c r="C402">
        <v>0.10320988680934494</v>
      </c>
      <c r="D402">
        <v>36.657763566201915</v>
      </c>
      <c r="E402" s="6" t="s">
        <v>13</v>
      </c>
      <c r="F402" s="6" t="s">
        <v>13</v>
      </c>
      <c r="G402" s="6"/>
      <c r="I402">
        <f t="shared" si="22"/>
        <v>89.679011319065509</v>
      </c>
      <c r="J402">
        <f t="shared" si="23"/>
        <v>396.15</v>
      </c>
      <c r="K402">
        <f t="shared" si="24"/>
        <v>3665776.3566201916</v>
      </c>
    </row>
    <row r="403" spans="1:11">
      <c r="A403">
        <v>398</v>
      </c>
      <c r="B403">
        <v>397.15</v>
      </c>
      <c r="C403">
        <v>0.10289870279224438</v>
      </c>
      <c r="D403">
        <v>36.881427603396432</v>
      </c>
      <c r="E403" s="6" t="s">
        <v>13</v>
      </c>
      <c r="F403" s="6" t="s">
        <v>13</v>
      </c>
      <c r="G403" s="6"/>
      <c r="I403">
        <f t="shared" si="22"/>
        <v>89.710129720775569</v>
      </c>
      <c r="J403">
        <f t="shared" si="23"/>
        <v>397.15</v>
      </c>
      <c r="K403">
        <f t="shared" si="24"/>
        <v>3688142.7603396433</v>
      </c>
    </row>
    <row r="404" spans="1:11">
      <c r="A404">
        <v>399</v>
      </c>
      <c r="B404">
        <v>398.15</v>
      </c>
      <c r="C404">
        <v>0.10260372260189016</v>
      </c>
      <c r="D404">
        <v>37.103237431583914</v>
      </c>
      <c r="E404" s="6" t="s">
        <v>13</v>
      </c>
      <c r="F404" s="6" t="s">
        <v>13</v>
      </c>
      <c r="G404" s="6"/>
      <c r="I404">
        <f t="shared" si="22"/>
        <v>89.739627739810985</v>
      </c>
      <c r="J404">
        <f t="shared" si="23"/>
        <v>398.15</v>
      </c>
      <c r="K404">
        <f t="shared" si="24"/>
        <v>3710323.7431583912</v>
      </c>
    </row>
    <row r="405" spans="1:11">
      <c r="A405">
        <v>400</v>
      </c>
      <c r="B405">
        <v>399.15</v>
      </c>
      <c r="C405">
        <v>0.102325149463155</v>
      </c>
      <c r="D405">
        <v>37.323158645284096</v>
      </c>
      <c r="E405" s="6" t="s">
        <v>13</v>
      </c>
      <c r="F405" s="6" t="s">
        <v>13</v>
      </c>
      <c r="G405" s="6"/>
      <c r="I405">
        <f t="shared" si="22"/>
        <v>89.76748505368451</v>
      </c>
      <c r="J405">
        <f t="shared" si="23"/>
        <v>399.15</v>
      </c>
      <c r="K405">
        <f t="shared" si="24"/>
        <v>3732315.8645284097</v>
      </c>
    </row>
    <row r="406" spans="1:11">
      <c r="A406">
        <v>401</v>
      </c>
      <c r="B406">
        <v>400.15</v>
      </c>
      <c r="C406">
        <v>0.10206318660091168</v>
      </c>
      <c r="D406">
        <v>37.541156839016729</v>
      </c>
      <c r="E406" s="6" t="s">
        <v>13</v>
      </c>
      <c r="F406" s="6" t="s">
        <v>13</v>
      </c>
      <c r="G406" s="6"/>
      <c r="I406">
        <f t="shared" si="22"/>
        <v>89.793681339908844</v>
      </c>
      <c r="J406">
        <f t="shared" si="23"/>
        <v>400.15</v>
      </c>
      <c r="K406">
        <f t="shared" si="24"/>
        <v>3754115.6839016727</v>
      </c>
    </row>
    <row r="407" spans="1:11">
      <c r="A407">
        <v>402</v>
      </c>
      <c r="B407">
        <v>401.15</v>
      </c>
      <c r="C407">
        <v>0.10181803724003288</v>
      </c>
      <c r="D407">
        <v>37.757197607301521</v>
      </c>
      <c r="E407" s="6" t="s">
        <v>13</v>
      </c>
      <c r="F407" s="6" t="s">
        <v>13</v>
      </c>
      <c r="G407" s="6"/>
      <c r="I407">
        <f t="shared" si="22"/>
        <v>89.818196275996712</v>
      </c>
      <c r="J407">
        <f t="shared" si="23"/>
        <v>401.15</v>
      </c>
      <c r="K407">
        <f t="shared" si="24"/>
        <v>3775719.760730152</v>
      </c>
    </row>
  </sheetData>
  <protectedRanges>
    <protectedRange sqref="M6:P8" name="区域1"/>
  </protectedRanges>
  <mergeCells count="1">
    <mergeCell ref="A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7"/>
  <sheetViews>
    <sheetView workbookViewId="0">
      <selection activeCell="I25" sqref="I25"/>
    </sheetView>
  </sheetViews>
  <sheetFormatPr defaultRowHeight="14.4"/>
  <cols>
    <col min="1" max="1" width="14.44140625" customWidth="1"/>
    <col min="2" max="2" width="15.33203125" customWidth="1"/>
    <col min="3" max="3" width="27.21875" customWidth="1"/>
    <col min="4" max="4" width="36.44140625" bestFit="1" customWidth="1"/>
    <col min="5" max="5" width="8.44140625" customWidth="1"/>
    <col min="6" max="6" width="14.33203125" customWidth="1"/>
    <col min="7" max="7" width="20.5546875" customWidth="1"/>
    <col min="8" max="8" width="14.88671875" customWidth="1"/>
    <col min="9" max="9" width="14.44140625" customWidth="1"/>
    <col min="10" max="10" width="19.109375" customWidth="1"/>
    <col min="11" max="11" width="17.5546875" customWidth="1"/>
  </cols>
  <sheetData>
    <row r="1" spans="1:11">
      <c r="A1" t="s">
        <v>2</v>
      </c>
    </row>
    <row r="2" spans="1:11">
      <c r="A2" t="s">
        <v>3</v>
      </c>
    </row>
    <row r="4" spans="1:11">
      <c r="A4" s="7" t="s">
        <v>4</v>
      </c>
      <c r="B4" s="7"/>
      <c r="C4" s="7"/>
      <c r="D4" s="7"/>
      <c r="E4" s="7"/>
      <c r="F4" s="7"/>
      <c r="H4" t="s">
        <v>5</v>
      </c>
    </row>
    <row r="5" spans="1:11">
      <c r="A5" t="s">
        <v>11</v>
      </c>
      <c r="B5" t="s">
        <v>0</v>
      </c>
      <c r="C5" t="s">
        <v>1</v>
      </c>
      <c r="D5" t="s">
        <v>10</v>
      </c>
      <c r="E5" t="s">
        <v>12</v>
      </c>
      <c r="F5" s="1" t="s">
        <v>9</v>
      </c>
      <c r="H5" s="1" t="s">
        <v>6</v>
      </c>
      <c r="I5" s="4" t="s">
        <v>7</v>
      </c>
      <c r="J5" s="4" t="s">
        <v>8</v>
      </c>
      <c r="K5" s="1" t="s">
        <v>9</v>
      </c>
    </row>
    <row r="6" spans="1:11">
      <c r="A6">
        <v>1</v>
      </c>
      <c r="B6">
        <v>275.14999999999998</v>
      </c>
      <c r="C6">
        <v>5.2695111529843339E-2</v>
      </c>
      <c r="D6">
        <v>2.5014642760532952</v>
      </c>
      <c r="E6" s="6" t="s">
        <v>13</v>
      </c>
      <c r="F6" s="6" t="s">
        <v>13</v>
      </c>
      <c r="H6" s="1">
        <v>15</v>
      </c>
      <c r="I6" s="2">
        <v>1.0022</v>
      </c>
      <c r="J6" s="3">
        <v>395.93</v>
      </c>
      <c r="K6" s="3">
        <f>J6/I6</f>
        <v>395.06086609459192</v>
      </c>
    </row>
    <row r="7" spans="1:11">
      <c r="A7">
        <v>2</v>
      </c>
      <c r="B7">
        <v>276.14999999999998</v>
      </c>
      <c r="C7">
        <v>5.2436090982390049E-2</v>
      </c>
      <c r="D7">
        <v>2.5545769428342284</v>
      </c>
      <c r="E7" s="6" t="s">
        <v>13</v>
      </c>
      <c r="F7" s="6" t="s">
        <v>13</v>
      </c>
      <c r="H7" s="1">
        <v>40</v>
      </c>
      <c r="I7" s="2">
        <v>1</v>
      </c>
      <c r="J7" s="3">
        <f>K7*I7</f>
        <v>67.847999999999999</v>
      </c>
      <c r="K7" s="3">
        <v>67.847999999999999</v>
      </c>
    </row>
    <row r="8" spans="1:11">
      <c r="A8">
        <v>3</v>
      </c>
      <c r="B8">
        <v>277.14999999999998</v>
      </c>
      <c r="C8">
        <v>5.2176914275327196E-2</v>
      </c>
      <c r="D8">
        <v>2.6081293114114583</v>
      </c>
      <c r="E8" s="6" t="s">
        <v>13</v>
      </c>
      <c r="F8" s="6" t="s">
        <v>13</v>
      </c>
      <c r="H8" s="1">
        <v>100</v>
      </c>
      <c r="I8" s="2">
        <v>0.96020000000000005</v>
      </c>
      <c r="J8" s="3">
        <f>K8*I8</f>
        <v>7.9449828600000005</v>
      </c>
      <c r="K8" s="3">
        <v>8.2743000000000002</v>
      </c>
    </row>
    <row r="9" spans="1:11">
      <c r="A9">
        <v>4</v>
      </c>
      <c r="B9">
        <v>278.14999999999998</v>
      </c>
      <c r="C9">
        <v>5.1917605837360319E-2</v>
      </c>
      <c r="D9">
        <v>2.662114534249056</v>
      </c>
      <c r="E9" s="6" t="s">
        <v>13</v>
      </c>
      <c r="F9" s="6" t="s">
        <v>13</v>
      </c>
    </row>
    <row r="10" spans="1:11">
      <c r="A10">
        <v>5</v>
      </c>
      <c r="B10">
        <v>279.14999999999998</v>
      </c>
      <c r="C10">
        <v>5.1658190097194988E-2</v>
      </c>
      <c r="D10">
        <v>2.7165257638110938</v>
      </c>
      <c r="E10" s="6" t="s">
        <v>13</v>
      </c>
      <c r="F10" s="6" t="s">
        <v>13</v>
      </c>
    </row>
    <row r="11" spans="1:11">
      <c r="A11">
        <v>6</v>
      </c>
      <c r="B11">
        <v>280.14999999999998</v>
      </c>
      <c r="C11">
        <v>5.1398691483536783E-2</v>
      </c>
      <c r="D11">
        <v>2.7713561525616415</v>
      </c>
      <c r="E11" s="6" t="s">
        <v>13</v>
      </c>
      <c r="F11" s="6" t="s">
        <v>13</v>
      </c>
    </row>
    <row r="12" spans="1:11">
      <c r="A12">
        <v>7</v>
      </c>
      <c r="B12">
        <v>281.14999999999998</v>
      </c>
      <c r="C12">
        <v>5.1139134425091243E-2</v>
      </c>
      <c r="D12">
        <v>2.8265988529647705</v>
      </c>
      <c r="E12" s="6" t="s">
        <v>13</v>
      </c>
      <c r="F12" s="6" t="s">
        <v>13</v>
      </c>
    </row>
    <row r="13" spans="1:11">
      <c r="A13">
        <v>8</v>
      </c>
      <c r="B13">
        <v>282.14999999999998</v>
      </c>
      <c r="C13">
        <v>5.0879543350563931E-2</v>
      </c>
      <c r="D13">
        <v>2.8822470174845529</v>
      </c>
      <c r="E13" s="6" t="s">
        <v>13</v>
      </c>
      <c r="F13" s="6" t="s">
        <v>13</v>
      </c>
    </row>
    <row r="14" spans="1:11">
      <c r="A14">
        <v>9</v>
      </c>
      <c r="B14">
        <v>283.14999999999998</v>
      </c>
      <c r="C14">
        <v>5.0619942688660428E-2</v>
      </c>
      <c r="D14">
        <v>2.9382937985850588</v>
      </c>
      <c r="E14" s="6" t="s">
        <v>13</v>
      </c>
      <c r="F14" s="6" t="s">
        <v>13</v>
      </c>
    </row>
    <row r="15" spans="1:11">
      <c r="A15">
        <v>10</v>
      </c>
      <c r="B15">
        <v>284.14999999999998</v>
      </c>
      <c r="C15">
        <v>5.0360356868086278E-2</v>
      </c>
      <c r="D15">
        <v>2.9947323487303601</v>
      </c>
      <c r="E15" s="6" t="s">
        <v>13</v>
      </c>
      <c r="F15" s="6" t="s">
        <v>13</v>
      </c>
    </row>
    <row r="16" spans="1:11">
      <c r="A16">
        <v>11</v>
      </c>
      <c r="B16">
        <v>285.14999999999998</v>
      </c>
      <c r="C16">
        <v>5.010081031754704E-2</v>
      </c>
      <c r="D16">
        <v>3.0515558203845274</v>
      </c>
      <c r="E16" s="6" t="s">
        <v>13</v>
      </c>
      <c r="F16" s="6" t="s">
        <v>13</v>
      </c>
    </row>
    <row r="17" spans="1:6">
      <c r="A17">
        <v>12</v>
      </c>
      <c r="B17">
        <v>286.14999999999998</v>
      </c>
      <c r="C17">
        <v>4.9841327465748292E-2</v>
      </c>
      <c r="D17">
        <v>3.1087573660116314</v>
      </c>
      <c r="E17" s="6" t="s">
        <v>13</v>
      </c>
      <c r="F17" s="6" t="s">
        <v>13</v>
      </c>
    </row>
    <row r="18" spans="1:6">
      <c r="A18">
        <v>13</v>
      </c>
      <c r="B18">
        <v>287.14999999999998</v>
      </c>
      <c r="C18">
        <v>4.9581932741395593E-2</v>
      </c>
      <c r="D18">
        <v>3.1663301380757449</v>
      </c>
      <c r="E18" s="6" t="s">
        <v>13</v>
      </c>
      <c r="F18" s="6" t="s">
        <v>13</v>
      </c>
    </row>
    <row r="19" spans="1:6">
      <c r="A19">
        <v>14</v>
      </c>
      <c r="B19">
        <v>288.14999999999998</v>
      </c>
      <c r="C19">
        <v>4.9322650573194501E-2</v>
      </c>
      <c r="D19">
        <v>3.2242672890409372</v>
      </c>
      <c r="E19" s="6" t="s">
        <v>13</v>
      </c>
      <c r="F19" s="6" t="s">
        <v>13</v>
      </c>
    </row>
    <row r="20" spans="1:6">
      <c r="A20">
        <v>15</v>
      </c>
      <c r="B20">
        <v>289.14999999999998</v>
      </c>
      <c r="C20">
        <v>4.9063505389850576E-2</v>
      </c>
      <c r="D20">
        <v>3.2825619713712806</v>
      </c>
      <c r="E20" s="6" t="s">
        <v>13</v>
      </c>
      <c r="F20" s="6" t="s">
        <v>13</v>
      </c>
    </row>
    <row r="21" spans="1:6">
      <c r="A21">
        <v>16</v>
      </c>
      <c r="B21">
        <v>290.14999999999998</v>
      </c>
      <c r="C21">
        <v>4.8804521620069381E-2</v>
      </c>
      <c r="D21">
        <v>3.3412073375308453</v>
      </c>
      <c r="E21" s="6" t="s">
        <v>13</v>
      </c>
      <c r="F21" s="6" t="s">
        <v>13</v>
      </c>
    </row>
    <row r="22" spans="1:6">
      <c r="A22">
        <v>17</v>
      </c>
      <c r="B22">
        <v>291.14999999999998</v>
      </c>
      <c r="C22">
        <v>4.854572369255649E-2</v>
      </c>
      <c r="D22">
        <v>3.4001965399837033</v>
      </c>
      <c r="E22" s="6" t="s">
        <v>13</v>
      </c>
      <c r="F22" s="6" t="s">
        <v>13</v>
      </c>
    </row>
    <row r="23" spans="1:6">
      <c r="A23">
        <v>18</v>
      </c>
      <c r="B23">
        <v>292.14999999999998</v>
      </c>
      <c r="C23">
        <v>4.8287136036017447E-2</v>
      </c>
      <c r="D23">
        <v>3.4595227311939256</v>
      </c>
      <c r="E23" s="6" t="s">
        <v>13</v>
      </c>
      <c r="F23" s="6" t="s">
        <v>13</v>
      </c>
    </row>
    <row r="24" spans="1:6">
      <c r="A24">
        <v>19</v>
      </c>
      <c r="B24">
        <v>293.14999999999998</v>
      </c>
      <c r="C24">
        <v>4.8028783079157825E-2</v>
      </c>
      <c r="D24">
        <v>3.5191790636255829</v>
      </c>
      <c r="E24" s="6" t="s">
        <v>13</v>
      </c>
      <c r="F24" s="6" t="s">
        <v>13</v>
      </c>
    </row>
    <row r="25" spans="1:6">
      <c r="A25">
        <v>20</v>
      </c>
      <c r="B25">
        <v>294.14999999999998</v>
      </c>
      <c r="C25">
        <v>4.7770689250683174E-2</v>
      </c>
      <c r="D25">
        <v>3.5791586897427465</v>
      </c>
      <c r="E25" s="6" t="s">
        <v>13</v>
      </c>
      <c r="F25" s="6" t="s">
        <v>13</v>
      </c>
    </row>
    <row r="26" spans="1:6">
      <c r="A26">
        <v>21</v>
      </c>
      <c r="B26">
        <v>295.14999999999998</v>
      </c>
      <c r="C26">
        <v>4.7512878979299074E-2</v>
      </c>
      <c r="D26">
        <v>3.6394547620094877</v>
      </c>
      <c r="E26" s="6" t="s">
        <v>13</v>
      </c>
      <c r="F26" s="6" t="s">
        <v>13</v>
      </c>
    </row>
    <row r="27" spans="1:6">
      <c r="A27">
        <v>22</v>
      </c>
      <c r="B27">
        <v>296.14999999999998</v>
      </c>
      <c r="C27">
        <v>4.7255376693711076E-2</v>
      </c>
      <c r="D27">
        <v>3.7000604328898778</v>
      </c>
      <c r="E27" s="6" t="s">
        <v>13</v>
      </c>
      <c r="F27" s="6" t="s">
        <v>13</v>
      </c>
    </row>
    <row r="28" spans="1:6">
      <c r="A28">
        <v>23</v>
      </c>
      <c r="B28">
        <v>297.14999999999998</v>
      </c>
      <c r="C28">
        <v>4.6998206822624747E-2</v>
      </c>
      <c r="D28">
        <v>3.7609688548479876</v>
      </c>
      <c r="E28" s="6" t="s">
        <v>13</v>
      </c>
      <c r="F28" s="6" t="s">
        <v>13</v>
      </c>
    </row>
    <row r="29" spans="1:6">
      <c r="A29">
        <v>24</v>
      </c>
      <c r="B29">
        <v>298.14999999999998</v>
      </c>
      <c r="C29">
        <v>4.674139379474565E-2</v>
      </c>
      <c r="D29">
        <v>3.822173180347888</v>
      </c>
      <c r="E29" s="6" t="s">
        <v>13</v>
      </c>
      <c r="F29" s="6" t="s">
        <v>13</v>
      </c>
    </row>
    <row r="30" spans="1:6">
      <c r="A30">
        <v>25</v>
      </c>
      <c r="B30">
        <v>299.14999999999998</v>
      </c>
      <c r="C30">
        <v>4.6484962038779339E-2</v>
      </c>
      <c r="D30">
        <v>3.883666561853651</v>
      </c>
      <c r="E30" s="6" t="s">
        <v>13</v>
      </c>
      <c r="F30" s="6" t="s">
        <v>13</v>
      </c>
    </row>
    <row r="31" spans="1:6">
      <c r="A31">
        <v>26</v>
      </c>
      <c r="B31">
        <v>300.14999999999998</v>
      </c>
      <c r="C31">
        <v>4.6228935983431384E-2</v>
      </c>
      <c r="D31">
        <v>3.9454421518293472</v>
      </c>
      <c r="E31" s="6" t="s">
        <v>13</v>
      </c>
      <c r="F31" s="6" t="s">
        <v>13</v>
      </c>
    </row>
    <row r="32" spans="1:6">
      <c r="A32">
        <v>27</v>
      </c>
      <c r="B32">
        <v>301.14999999999998</v>
      </c>
      <c r="C32">
        <v>4.5973340057407337E-2</v>
      </c>
      <c r="D32">
        <v>4.0074931027390477</v>
      </c>
      <c r="E32" s="6" t="s">
        <v>13</v>
      </c>
      <c r="F32" s="6" t="s">
        <v>13</v>
      </c>
    </row>
    <row r="33" spans="1:6">
      <c r="A33">
        <v>28</v>
      </c>
      <c r="B33">
        <v>302.14999999999998</v>
      </c>
      <c r="C33">
        <v>4.5718198689412778E-2</v>
      </c>
      <c r="D33">
        <v>4.0698125670468226</v>
      </c>
      <c r="E33" s="6" t="s">
        <v>13</v>
      </c>
      <c r="F33" s="6" t="s">
        <v>13</v>
      </c>
    </row>
    <row r="34" spans="1:6">
      <c r="A34">
        <v>29</v>
      </c>
      <c r="B34">
        <v>303.14999999999998</v>
      </c>
      <c r="C34">
        <v>4.5463536308153252E-2</v>
      </c>
      <c r="D34">
        <v>4.1323936972167452</v>
      </c>
      <c r="E34" s="6" t="s">
        <v>13</v>
      </c>
      <c r="F34" s="6" t="s">
        <v>13</v>
      </c>
    </row>
    <row r="35" spans="1:6">
      <c r="A35">
        <v>30</v>
      </c>
      <c r="B35">
        <v>304.14999999999998</v>
      </c>
      <c r="C35">
        <v>4.5209377342334336E-2</v>
      </c>
      <c r="D35">
        <v>4.1952296457128853</v>
      </c>
      <c r="E35" s="6" t="s">
        <v>13</v>
      </c>
      <c r="F35" s="6" t="s">
        <v>13</v>
      </c>
    </row>
    <row r="36" spans="1:6">
      <c r="A36">
        <v>31</v>
      </c>
      <c r="B36">
        <v>305.14999999999998</v>
      </c>
      <c r="C36">
        <v>4.4955746220661577E-2</v>
      </c>
      <c r="D36">
        <v>4.2583135649993151</v>
      </c>
      <c r="E36" s="6" t="s">
        <v>13</v>
      </c>
      <c r="F36" s="6" t="s">
        <v>13</v>
      </c>
    </row>
    <row r="37" spans="1:6">
      <c r="A37">
        <v>32</v>
      </c>
      <c r="B37">
        <v>306.14999999999998</v>
      </c>
      <c r="C37">
        <v>4.4702667371840546E-2</v>
      </c>
      <c r="D37">
        <v>4.3216386075401036</v>
      </c>
      <c r="E37" s="6" t="s">
        <v>13</v>
      </c>
      <c r="F37" s="6" t="s">
        <v>13</v>
      </c>
    </row>
    <row r="38" spans="1:6">
      <c r="A38">
        <v>33</v>
      </c>
      <c r="B38">
        <v>307.14999999999998</v>
      </c>
      <c r="C38">
        <v>4.4450165224576808E-2</v>
      </c>
      <c r="D38">
        <v>4.3851979257993232</v>
      </c>
      <c r="E38" s="6" t="s">
        <v>13</v>
      </c>
      <c r="F38" s="6" t="s">
        <v>13</v>
      </c>
    </row>
    <row r="39" spans="1:6">
      <c r="A39">
        <v>34</v>
      </c>
      <c r="B39">
        <v>308.14999999999998</v>
      </c>
      <c r="C39">
        <v>4.4198264207575916E-2</v>
      </c>
      <c r="D39">
        <v>4.4489846722410471</v>
      </c>
      <c r="E39" s="6" t="s">
        <v>13</v>
      </c>
      <c r="F39" s="6" t="s">
        <v>13</v>
      </c>
    </row>
    <row r="40" spans="1:6">
      <c r="A40">
        <v>35</v>
      </c>
      <c r="B40">
        <v>309.14999999999998</v>
      </c>
      <c r="C40">
        <v>4.3946988749543434E-2</v>
      </c>
      <c r="D40">
        <v>4.5129919993293415</v>
      </c>
      <c r="E40" s="6" t="s">
        <v>13</v>
      </c>
      <c r="F40" s="6" t="s">
        <v>13</v>
      </c>
    </row>
    <row r="41" spans="1:6">
      <c r="A41">
        <v>36</v>
      </c>
      <c r="B41">
        <v>310.14999999999998</v>
      </c>
      <c r="C41">
        <v>4.3696363279184927E-2</v>
      </c>
      <c r="D41">
        <v>4.5772130595282832</v>
      </c>
      <c r="E41" s="6" t="s">
        <v>13</v>
      </c>
      <c r="F41" s="6" t="s">
        <v>13</v>
      </c>
    </row>
    <row r="42" spans="1:6">
      <c r="A42">
        <v>37</v>
      </c>
      <c r="B42">
        <v>311.14999999999998</v>
      </c>
      <c r="C42">
        <v>4.3446412225205955E-2</v>
      </c>
      <c r="D42">
        <v>4.6416410053019383</v>
      </c>
      <c r="E42" s="6" t="s">
        <v>13</v>
      </c>
      <c r="F42" s="6" t="s">
        <v>13</v>
      </c>
    </row>
    <row r="43" spans="1:6">
      <c r="A43">
        <v>38</v>
      </c>
      <c r="B43">
        <v>312.14999999999998</v>
      </c>
      <c r="C43">
        <v>4.3197160016312096E-2</v>
      </c>
      <c r="D43">
        <v>4.7062689891143821</v>
      </c>
      <c r="E43" s="6" t="s">
        <v>13</v>
      </c>
      <c r="F43" s="6" t="s">
        <v>13</v>
      </c>
    </row>
    <row r="44" spans="1:6">
      <c r="A44">
        <v>39</v>
      </c>
      <c r="B44">
        <v>313.14999999999998</v>
      </c>
      <c r="C44">
        <v>4.2948631081208881E-2</v>
      </c>
      <c r="D44">
        <v>4.7710901634296823</v>
      </c>
      <c r="E44" s="6" t="s">
        <v>13</v>
      </c>
      <c r="F44" s="6" t="s">
        <v>13</v>
      </c>
    </row>
    <row r="45" spans="1:6">
      <c r="A45">
        <v>40</v>
      </c>
      <c r="B45">
        <v>314.14999999999998</v>
      </c>
      <c r="C45">
        <v>4.2700849848601896E-2</v>
      </c>
      <c r="D45">
        <v>4.8360976807119131</v>
      </c>
      <c r="E45" s="6" t="s">
        <v>13</v>
      </c>
      <c r="F45" s="6" t="s">
        <v>13</v>
      </c>
    </row>
    <row r="46" spans="1:6">
      <c r="A46">
        <v>41</v>
      </c>
      <c r="B46">
        <v>315.14999999999998</v>
      </c>
      <c r="C46">
        <v>4.24538407471967E-2</v>
      </c>
      <c r="D46">
        <v>4.9012846934251435</v>
      </c>
      <c r="E46" s="6" t="s">
        <v>13</v>
      </c>
      <c r="F46" s="6" t="s">
        <v>13</v>
      </c>
    </row>
    <row r="47" spans="1:6">
      <c r="A47">
        <v>42</v>
      </c>
      <c r="B47">
        <v>316.14999999999998</v>
      </c>
      <c r="C47">
        <v>4.2207628205698851E-2</v>
      </c>
      <c r="D47">
        <v>4.9666443540334457</v>
      </c>
      <c r="E47" s="6" t="s">
        <v>13</v>
      </c>
      <c r="F47" s="6" t="s">
        <v>13</v>
      </c>
    </row>
    <row r="48" spans="1:6">
      <c r="A48">
        <v>43</v>
      </c>
      <c r="B48">
        <v>317.14999999999998</v>
      </c>
      <c r="C48">
        <v>4.1962236652813907E-2</v>
      </c>
      <c r="D48">
        <v>5.0321698150008896</v>
      </c>
      <c r="E48" s="6" t="s">
        <v>13</v>
      </c>
      <c r="F48" s="6" t="s">
        <v>13</v>
      </c>
    </row>
    <row r="49" spans="1:6">
      <c r="A49">
        <v>44</v>
      </c>
      <c r="B49">
        <v>318.14999999999998</v>
      </c>
      <c r="C49">
        <v>4.1717690517247441E-2</v>
      </c>
      <c r="D49">
        <v>5.0978542287915474</v>
      </c>
      <c r="E49" s="6" t="s">
        <v>13</v>
      </c>
      <c r="F49" s="6" t="s">
        <v>13</v>
      </c>
    </row>
    <row r="50" spans="1:6">
      <c r="A50">
        <v>45</v>
      </c>
      <c r="B50">
        <v>319.14999999999998</v>
      </c>
      <c r="C50">
        <v>4.1474014227705004E-2</v>
      </c>
      <c r="D50">
        <v>5.1636907478694898</v>
      </c>
      <c r="E50" s="6" t="s">
        <v>13</v>
      </c>
      <c r="F50" s="6" t="s">
        <v>13</v>
      </c>
    </row>
    <row r="51" spans="1:6">
      <c r="A51">
        <v>46</v>
      </c>
      <c r="B51">
        <v>320.14999999999998</v>
      </c>
      <c r="C51">
        <v>4.1231232212892169E-2</v>
      </c>
      <c r="D51">
        <v>5.2296725246987892</v>
      </c>
      <c r="E51" s="6" t="s">
        <v>13</v>
      </c>
      <c r="F51" s="6" t="s">
        <v>13</v>
      </c>
    </row>
    <row r="52" spans="1:6">
      <c r="A52">
        <v>47</v>
      </c>
      <c r="B52">
        <v>321.14999999999998</v>
      </c>
      <c r="C52">
        <v>4.0989368901514486E-2</v>
      </c>
      <c r="D52">
        <v>5.2957927117435144</v>
      </c>
      <c r="E52" s="6" t="s">
        <v>13</v>
      </c>
      <c r="F52" s="6" t="s">
        <v>13</v>
      </c>
    </row>
    <row r="53" spans="1:6">
      <c r="A53">
        <v>48</v>
      </c>
      <c r="B53">
        <v>322.14999999999998</v>
      </c>
      <c r="C53">
        <v>4.0748448722277529E-2</v>
      </c>
      <c r="D53">
        <v>5.3620444614677387</v>
      </c>
      <c r="E53" s="6" t="s">
        <v>13</v>
      </c>
      <c r="F53" s="6" t="s">
        <v>13</v>
      </c>
    </row>
    <row r="54" spans="1:6">
      <c r="A54">
        <v>49</v>
      </c>
      <c r="B54">
        <v>323.14999999999998</v>
      </c>
      <c r="C54">
        <v>4.0508496103886862E-2</v>
      </c>
      <c r="D54">
        <v>5.4284209263355327</v>
      </c>
      <c r="E54" s="6" t="s">
        <v>13</v>
      </c>
      <c r="F54" s="6" t="s">
        <v>13</v>
      </c>
    </row>
    <row r="55" spans="1:6">
      <c r="A55">
        <v>50</v>
      </c>
      <c r="B55">
        <v>324.14999999999998</v>
      </c>
      <c r="C55">
        <v>4.0269535475048024E-2</v>
      </c>
      <c r="D55">
        <v>5.4949152588109662</v>
      </c>
      <c r="E55" s="6" t="s">
        <v>13</v>
      </c>
      <c r="F55" s="6" t="s">
        <v>13</v>
      </c>
    </row>
    <row r="56" spans="1:6">
      <c r="A56">
        <v>51</v>
      </c>
      <c r="B56">
        <v>325.14999999999998</v>
      </c>
      <c r="C56">
        <v>4.00315912644666E-2</v>
      </c>
      <c r="D56">
        <v>5.5615206113581124</v>
      </c>
      <c r="E56" s="6" t="s">
        <v>13</v>
      </c>
      <c r="F56" s="6" t="s">
        <v>13</v>
      </c>
    </row>
    <row r="57" spans="1:6">
      <c r="A57">
        <v>52</v>
      </c>
      <c r="B57">
        <v>326.14999999999998</v>
      </c>
      <c r="C57">
        <v>3.9794687900848141E-2</v>
      </c>
      <c r="D57">
        <v>5.6282301364410401</v>
      </c>
      <c r="E57" s="6" t="s">
        <v>13</v>
      </c>
      <c r="F57" s="6" t="s">
        <v>13</v>
      </c>
    </row>
    <row r="58" spans="1:6">
      <c r="A58">
        <v>53</v>
      </c>
      <c r="B58">
        <v>327.14999999999998</v>
      </c>
      <c r="C58">
        <v>3.9558849812898214E-2</v>
      </c>
      <c r="D58">
        <v>5.6950369865238226</v>
      </c>
      <c r="E58" s="6" t="s">
        <v>13</v>
      </c>
      <c r="F58" s="6" t="s">
        <v>13</v>
      </c>
    </row>
    <row r="59" spans="1:6">
      <c r="A59">
        <v>54</v>
      </c>
      <c r="B59">
        <v>328.15</v>
      </c>
      <c r="C59">
        <v>3.932410142932239E-2</v>
      </c>
      <c r="D59">
        <v>5.7619343140705306</v>
      </c>
      <c r="E59" s="6" t="s">
        <v>13</v>
      </c>
      <c r="F59" s="6" t="s">
        <v>13</v>
      </c>
    </row>
    <row r="60" spans="1:6">
      <c r="A60">
        <v>55</v>
      </c>
      <c r="B60">
        <v>329.15</v>
      </c>
      <c r="C60">
        <v>3.9090467178826215E-2</v>
      </c>
      <c r="D60">
        <v>5.8289152715452337</v>
      </c>
      <c r="E60" s="6" t="s">
        <v>13</v>
      </c>
      <c r="F60" s="6" t="s">
        <v>13</v>
      </c>
    </row>
    <row r="61" spans="1:6">
      <c r="A61">
        <v>56</v>
      </c>
      <c r="B61">
        <v>330.15</v>
      </c>
      <c r="C61">
        <v>3.8857971490115259E-2</v>
      </c>
      <c r="D61">
        <v>5.8959730114120044</v>
      </c>
      <c r="E61" s="6" t="s">
        <v>13</v>
      </c>
      <c r="F61" s="6" t="s">
        <v>13</v>
      </c>
    </row>
    <row r="62" spans="1:6">
      <c r="A62">
        <v>57</v>
      </c>
      <c r="B62">
        <v>331.15</v>
      </c>
      <c r="C62">
        <v>3.8626638791895089E-2</v>
      </c>
      <c r="D62">
        <v>5.9631006861349132</v>
      </c>
      <c r="E62" s="6" t="s">
        <v>13</v>
      </c>
      <c r="F62" s="6" t="s">
        <v>13</v>
      </c>
    </row>
    <row r="63" spans="1:6">
      <c r="A63">
        <v>58</v>
      </c>
      <c r="B63">
        <v>332.15</v>
      </c>
      <c r="C63">
        <v>3.8396493512871249E-2</v>
      </c>
      <c r="D63">
        <v>6.0302914481780308</v>
      </c>
      <c r="E63" s="6" t="s">
        <v>13</v>
      </c>
      <c r="F63" s="6" t="s">
        <v>13</v>
      </c>
    </row>
    <row r="64" spans="1:6">
      <c r="A64">
        <v>59</v>
      </c>
      <c r="B64">
        <v>333.15</v>
      </c>
      <c r="C64">
        <v>3.8167560081749319E-2</v>
      </c>
      <c r="D64">
        <v>6.0975384500054322</v>
      </c>
      <c r="E64" s="6" t="s">
        <v>13</v>
      </c>
      <c r="F64" s="6" t="s">
        <v>13</v>
      </c>
    </row>
    <row r="65" spans="1:6">
      <c r="A65">
        <v>60</v>
      </c>
      <c r="B65">
        <v>334.15</v>
      </c>
      <c r="C65">
        <v>3.7939862927234849E-2</v>
      </c>
      <c r="D65">
        <v>6.1648348440811818</v>
      </c>
      <c r="E65" s="6" t="s">
        <v>13</v>
      </c>
      <c r="F65" s="6" t="s">
        <v>13</v>
      </c>
    </row>
    <row r="66" spans="1:6">
      <c r="A66">
        <v>61</v>
      </c>
      <c r="B66">
        <v>335.15</v>
      </c>
      <c r="C66">
        <v>3.771342647803342E-2</v>
      </c>
      <c r="D66">
        <v>6.2321737828693573</v>
      </c>
      <c r="E66" s="6" t="s">
        <v>13</v>
      </c>
      <c r="F66" s="6" t="s">
        <v>13</v>
      </c>
    </row>
    <row r="67" spans="1:6">
      <c r="A67">
        <v>62</v>
      </c>
      <c r="B67">
        <v>336.15</v>
      </c>
      <c r="C67">
        <v>3.7488275162850582E-2</v>
      </c>
      <c r="D67">
        <v>6.2995484188340249</v>
      </c>
      <c r="E67" s="6" t="s">
        <v>13</v>
      </c>
      <c r="F67" s="6" t="s">
        <v>13</v>
      </c>
    </row>
    <row r="68" spans="1:6">
      <c r="A68">
        <v>63</v>
      </c>
      <c r="B68">
        <v>337.15</v>
      </c>
      <c r="C68">
        <v>3.726443341039188E-2</v>
      </c>
      <c r="D68">
        <v>6.3669519044392597</v>
      </c>
      <c r="E68" s="6" t="s">
        <v>13</v>
      </c>
      <c r="F68" s="6" t="s">
        <v>13</v>
      </c>
    </row>
    <row r="69" spans="1:6">
      <c r="A69">
        <v>64</v>
      </c>
      <c r="B69">
        <v>338.15</v>
      </c>
      <c r="C69">
        <v>3.7041925649362907E-2</v>
      </c>
      <c r="D69">
        <v>6.4343773921491296</v>
      </c>
      <c r="E69" s="6" t="s">
        <v>13</v>
      </c>
      <c r="F69" s="6" t="s">
        <v>13</v>
      </c>
    </row>
    <row r="70" spans="1:6">
      <c r="A70">
        <v>65</v>
      </c>
      <c r="B70">
        <v>339.15</v>
      </c>
      <c r="C70">
        <v>3.6820776308469208E-2</v>
      </c>
      <c r="D70">
        <v>6.5018180344277079</v>
      </c>
      <c r="E70" s="6" t="s">
        <v>13</v>
      </c>
      <c r="F70" s="6" t="s">
        <v>13</v>
      </c>
    </row>
    <row r="71" spans="1:6">
      <c r="A71">
        <v>66</v>
      </c>
      <c r="B71">
        <v>340.15</v>
      </c>
      <c r="C71">
        <v>3.6601009816416348E-2</v>
      </c>
      <c r="D71">
        <v>6.5692669837390634</v>
      </c>
      <c r="E71" s="6" t="s">
        <v>13</v>
      </c>
      <c r="F71" s="6" t="s">
        <v>13</v>
      </c>
    </row>
    <row r="72" spans="1:6">
      <c r="A72">
        <v>67</v>
      </c>
      <c r="B72">
        <v>341.15</v>
      </c>
      <c r="C72">
        <v>3.6382650601909886E-2</v>
      </c>
      <c r="D72">
        <v>6.6367173925472702</v>
      </c>
      <c r="E72" s="6" t="s">
        <v>13</v>
      </c>
      <c r="F72" s="6" t="s">
        <v>13</v>
      </c>
    </row>
    <row r="73" spans="1:6">
      <c r="A73">
        <v>68</v>
      </c>
      <c r="B73">
        <v>342.15</v>
      </c>
      <c r="C73">
        <v>3.6165723093655393E-2</v>
      </c>
      <c r="D73">
        <v>6.7041624133163964</v>
      </c>
      <c r="E73" s="6" t="s">
        <v>13</v>
      </c>
      <c r="F73" s="6" t="s">
        <v>13</v>
      </c>
    </row>
    <row r="74" spans="1:6">
      <c r="A74">
        <v>69</v>
      </c>
      <c r="B74">
        <v>343.15</v>
      </c>
      <c r="C74">
        <v>3.5950251720358421E-2</v>
      </c>
      <c r="D74">
        <v>6.7715951985105161</v>
      </c>
      <c r="E74" s="6" t="s">
        <v>13</v>
      </c>
      <c r="F74" s="6" t="s">
        <v>13</v>
      </c>
    </row>
    <row r="75" spans="1:6">
      <c r="A75">
        <v>70</v>
      </c>
      <c r="B75">
        <v>344.15</v>
      </c>
      <c r="C75">
        <v>3.573626091072455E-2</v>
      </c>
      <c r="D75">
        <v>6.839008900593698</v>
      </c>
      <c r="E75" s="6" t="s">
        <v>13</v>
      </c>
      <c r="F75" s="6" t="s">
        <v>13</v>
      </c>
    </row>
    <row r="76" spans="1:6">
      <c r="A76">
        <v>71</v>
      </c>
      <c r="B76">
        <v>345.15</v>
      </c>
      <c r="C76">
        <v>3.5523775093459317E-2</v>
      </c>
      <c r="D76">
        <v>6.9063966720300147</v>
      </c>
      <c r="E76" s="6" t="s">
        <v>13</v>
      </c>
      <c r="F76" s="6" t="s">
        <v>13</v>
      </c>
    </row>
    <row r="77" spans="1:6">
      <c r="A77">
        <v>72</v>
      </c>
      <c r="B77">
        <v>346.15</v>
      </c>
      <c r="C77">
        <v>3.5312818697268294E-2</v>
      </c>
      <c r="D77">
        <v>6.9737516652835376</v>
      </c>
      <c r="E77" s="6" t="s">
        <v>13</v>
      </c>
      <c r="F77" s="6" t="s">
        <v>13</v>
      </c>
    </row>
    <row r="78" spans="1:6">
      <c r="A78">
        <v>73</v>
      </c>
      <c r="B78">
        <v>347.15</v>
      </c>
      <c r="C78">
        <v>3.5103416150857054E-2</v>
      </c>
      <c r="D78">
        <v>7.0410670328183365</v>
      </c>
      <c r="E78" s="6" t="s">
        <v>13</v>
      </c>
      <c r="F78" s="6" t="s">
        <v>13</v>
      </c>
    </row>
    <row r="79" spans="1:6">
      <c r="A79">
        <v>74</v>
      </c>
      <c r="B79">
        <v>348.15</v>
      </c>
      <c r="C79">
        <v>3.4895591882931142E-2</v>
      </c>
      <c r="D79">
        <v>7.1083359270984836</v>
      </c>
      <c r="E79" s="6" t="s">
        <v>13</v>
      </c>
      <c r="F79" s="6" t="s">
        <v>13</v>
      </c>
    </row>
    <row r="80" spans="1:6">
      <c r="A80">
        <v>75</v>
      </c>
      <c r="B80">
        <v>349.15</v>
      </c>
      <c r="C80">
        <v>3.4689370322196135E-2</v>
      </c>
      <c r="D80">
        <v>7.1755515005880497</v>
      </c>
      <c r="E80" s="6" t="s">
        <v>13</v>
      </c>
      <c r="F80" s="6" t="s">
        <v>13</v>
      </c>
    </row>
    <row r="81" spans="1:6">
      <c r="A81">
        <v>76</v>
      </c>
      <c r="B81">
        <v>350.15</v>
      </c>
      <c r="C81">
        <v>3.4484775897357579E-2</v>
      </c>
      <c r="D81">
        <v>7.2427069057511044</v>
      </c>
      <c r="E81" s="6" t="s">
        <v>13</v>
      </c>
      <c r="F81" s="6" t="s">
        <v>13</v>
      </c>
    </row>
    <row r="82" spans="1:6">
      <c r="A82">
        <v>77</v>
      </c>
      <c r="B82">
        <v>351.15</v>
      </c>
      <c r="C82">
        <v>3.4281833037121054E-2</v>
      </c>
      <c r="D82">
        <v>7.309795295051722</v>
      </c>
      <c r="E82" s="6" t="s">
        <v>13</v>
      </c>
      <c r="F82" s="6" t="s">
        <v>13</v>
      </c>
    </row>
    <row r="83" spans="1:6">
      <c r="A83">
        <v>78</v>
      </c>
      <c r="B83">
        <v>352.15</v>
      </c>
      <c r="C83">
        <v>3.4080566170192124E-2</v>
      </c>
      <c r="D83">
        <v>7.3768098209539712</v>
      </c>
      <c r="E83" s="6" t="s">
        <v>13</v>
      </c>
      <c r="F83" s="6" t="s">
        <v>13</v>
      </c>
    </row>
    <row r="84" spans="1:6">
      <c r="A84">
        <v>79</v>
      </c>
      <c r="B84">
        <v>353.15</v>
      </c>
      <c r="C84">
        <v>3.3880999725276327E-2</v>
      </c>
      <c r="D84">
        <v>7.4437436359219236</v>
      </c>
      <c r="E84" s="6" t="s">
        <v>13</v>
      </c>
      <c r="F84" s="6" t="s">
        <v>13</v>
      </c>
    </row>
    <row r="85" spans="1:6">
      <c r="A85">
        <v>80</v>
      </c>
      <c r="B85">
        <v>354.15</v>
      </c>
      <c r="C85">
        <v>3.3683158131079242E-2</v>
      </c>
      <c r="D85">
        <v>7.5105898924196515</v>
      </c>
      <c r="E85" s="6" t="s">
        <v>13</v>
      </c>
      <c r="F85" s="6" t="s">
        <v>13</v>
      </c>
    </row>
    <row r="86" spans="1:6">
      <c r="A86">
        <v>81</v>
      </c>
      <c r="B86">
        <v>355.15</v>
      </c>
      <c r="C86">
        <v>3.3487065816306436E-2</v>
      </c>
      <c r="D86">
        <v>7.5773417429112238</v>
      </c>
      <c r="E86" s="6" t="s">
        <v>13</v>
      </c>
      <c r="F86" s="6" t="s">
        <v>13</v>
      </c>
    </row>
    <row r="87" spans="1:6">
      <c r="A87">
        <v>82</v>
      </c>
      <c r="B87">
        <v>356.15</v>
      </c>
      <c r="C87">
        <v>3.3292747209663458E-2</v>
      </c>
      <c r="D87">
        <v>7.6439923398607128</v>
      </c>
      <c r="E87" s="6" t="s">
        <v>13</v>
      </c>
      <c r="F87" s="6" t="s">
        <v>13</v>
      </c>
    </row>
    <row r="88" spans="1:6">
      <c r="A88">
        <v>83</v>
      </c>
      <c r="B88">
        <v>357.15</v>
      </c>
      <c r="C88">
        <v>3.3100226739855874E-2</v>
      </c>
      <c r="D88">
        <v>7.7105348357321919</v>
      </c>
      <c r="E88" s="6" t="s">
        <v>13</v>
      </c>
      <c r="F88" s="6" t="s">
        <v>13</v>
      </c>
    </row>
    <row r="89" spans="1:6">
      <c r="A89">
        <v>84</v>
      </c>
      <c r="B89">
        <v>358.15</v>
      </c>
      <c r="C89">
        <v>3.2909528835589251E-2</v>
      </c>
      <c r="D89">
        <v>7.7769623829897281</v>
      </c>
      <c r="E89" s="6" t="s">
        <v>13</v>
      </c>
      <c r="F89" s="6" t="s">
        <v>13</v>
      </c>
    </row>
    <row r="90" spans="1:6">
      <c r="A90">
        <v>85</v>
      </c>
      <c r="B90">
        <v>359.15</v>
      </c>
      <c r="C90">
        <v>3.2720677925569146E-2</v>
      </c>
      <c r="D90">
        <v>7.8432681340973973</v>
      </c>
      <c r="E90" s="6" t="s">
        <v>13</v>
      </c>
      <c r="F90" s="6" t="s">
        <v>13</v>
      </c>
    </row>
    <row r="91" spans="1:6">
      <c r="A91">
        <v>86</v>
      </c>
      <c r="B91">
        <v>360.15</v>
      </c>
      <c r="C91">
        <v>3.2533698438501124E-2</v>
      </c>
      <c r="D91">
        <v>7.9094452415192649</v>
      </c>
      <c r="E91" s="6" t="s">
        <v>13</v>
      </c>
      <c r="F91" s="6" t="s">
        <v>13</v>
      </c>
    </row>
    <row r="92" spans="1:6">
      <c r="A92">
        <v>87</v>
      </c>
      <c r="B92">
        <v>361.15</v>
      </c>
      <c r="C92">
        <v>3.2348614803090744E-2</v>
      </c>
      <c r="D92">
        <v>7.9754868577194058</v>
      </c>
      <c r="E92" s="6" t="s">
        <v>13</v>
      </c>
      <c r="F92" s="6" t="s">
        <v>13</v>
      </c>
    </row>
    <row r="93" spans="1:6">
      <c r="A93">
        <v>88</v>
      </c>
      <c r="B93">
        <v>362.15</v>
      </c>
      <c r="C93">
        <v>3.2165451448043579E-2</v>
      </c>
      <c r="D93">
        <v>8.0413861351618898</v>
      </c>
      <c r="E93" s="6" t="s">
        <v>13</v>
      </c>
      <c r="F93" s="6" t="s">
        <v>13</v>
      </c>
    </row>
    <row r="94" spans="1:6">
      <c r="A94">
        <v>89</v>
      </c>
      <c r="B94">
        <v>363.15</v>
      </c>
      <c r="C94">
        <v>3.1984232802065179E-2</v>
      </c>
      <c r="D94">
        <v>8.1071362263107911</v>
      </c>
      <c r="E94" s="6" t="s">
        <v>13</v>
      </c>
      <c r="F94" s="6" t="s">
        <v>13</v>
      </c>
    </row>
    <row r="95" spans="1:6">
      <c r="A95">
        <v>90</v>
      </c>
      <c r="B95">
        <v>364.15</v>
      </c>
      <c r="C95">
        <v>3.1804983293861111E-2</v>
      </c>
      <c r="D95">
        <v>8.172730283630175</v>
      </c>
      <c r="E95" s="6" t="s">
        <v>13</v>
      </c>
      <c r="F95" s="6" t="s">
        <v>13</v>
      </c>
    </row>
    <row r="96" spans="1:6">
      <c r="A96">
        <v>91</v>
      </c>
      <c r="B96">
        <v>365.15</v>
      </c>
      <c r="C96">
        <v>3.1627727352136925E-2</v>
      </c>
      <c r="D96">
        <v>8.2381614595841199</v>
      </c>
      <c r="E96" s="6" t="s">
        <v>13</v>
      </c>
      <c r="F96" s="6" t="s">
        <v>13</v>
      </c>
    </row>
    <row r="97" spans="1:6">
      <c r="A97">
        <v>92</v>
      </c>
      <c r="B97">
        <v>366.15</v>
      </c>
      <c r="C97">
        <v>3.1452489405598208E-2</v>
      </c>
      <c r="D97">
        <v>8.3034229066366905</v>
      </c>
      <c r="E97" s="6" t="s">
        <v>13</v>
      </c>
      <c r="F97" s="6" t="s">
        <v>13</v>
      </c>
    </row>
    <row r="98" spans="1:6">
      <c r="A98">
        <v>93</v>
      </c>
      <c r="B98">
        <v>367.15</v>
      </c>
      <c r="C98">
        <v>3.1279293882950504E-2</v>
      </c>
      <c r="D98">
        <v>8.3685077772519598</v>
      </c>
      <c r="E98" s="6" t="s">
        <v>13</v>
      </c>
      <c r="F98" s="6" t="s">
        <v>13</v>
      </c>
    </row>
    <row r="99" spans="1:6">
      <c r="A99">
        <v>94</v>
      </c>
      <c r="B99">
        <v>368.15</v>
      </c>
      <c r="C99">
        <v>3.1108165212899379E-2</v>
      </c>
      <c r="D99">
        <v>8.4334092238940013</v>
      </c>
      <c r="E99" s="6" t="s">
        <v>13</v>
      </c>
      <c r="F99" s="6" t="s">
        <v>13</v>
      </c>
    </row>
    <row r="100" spans="1:6">
      <c r="A100">
        <v>95</v>
      </c>
      <c r="B100">
        <v>369.15</v>
      </c>
      <c r="C100">
        <v>3.0939127824150391E-2</v>
      </c>
      <c r="D100">
        <v>8.4981203990268828</v>
      </c>
      <c r="E100" s="6" t="s">
        <v>13</v>
      </c>
      <c r="F100" s="6" t="s">
        <v>13</v>
      </c>
    </row>
    <row r="101" spans="1:6">
      <c r="A101">
        <v>96</v>
      </c>
      <c r="B101">
        <v>370.15</v>
      </c>
      <c r="C101">
        <v>3.0772206145409112E-2</v>
      </c>
      <c r="D101">
        <v>8.5626344551146794</v>
      </c>
      <c r="E101" s="6" t="s">
        <v>13</v>
      </c>
      <c r="F101" s="6" t="s">
        <v>13</v>
      </c>
    </row>
    <row r="102" spans="1:6">
      <c r="A102">
        <v>97</v>
      </c>
      <c r="B102">
        <v>371.15</v>
      </c>
      <c r="C102">
        <v>3.0607424605381101E-2</v>
      </c>
      <c r="D102">
        <v>8.6269445446214608</v>
      </c>
      <c r="E102" s="6" t="s">
        <v>13</v>
      </c>
      <c r="F102" s="6" t="s">
        <v>13</v>
      </c>
    </row>
    <row r="103" spans="1:6">
      <c r="A103">
        <v>98</v>
      </c>
      <c r="B103">
        <v>372.15</v>
      </c>
      <c r="C103">
        <v>3.0444807632771916E-2</v>
      </c>
      <c r="D103">
        <v>8.6910438200112949</v>
      </c>
      <c r="E103" s="6" t="s">
        <v>13</v>
      </c>
      <c r="F103" s="6" t="s">
        <v>13</v>
      </c>
    </row>
    <row r="104" spans="1:6">
      <c r="A104">
        <v>99</v>
      </c>
      <c r="B104">
        <v>373.15</v>
      </c>
      <c r="C104">
        <v>3.0284379656287122E-2</v>
      </c>
      <c r="D104">
        <v>8.7549254337482552</v>
      </c>
      <c r="E104" s="6" t="s">
        <v>13</v>
      </c>
      <c r="F104" s="6" t="s">
        <v>13</v>
      </c>
    </row>
    <row r="105" spans="1:6">
      <c r="A105">
        <v>100</v>
      </c>
      <c r="B105">
        <v>374.15</v>
      </c>
      <c r="C105">
        <v>3.0126165104632275E-2</v>
      </c>
      <c r="D105">
        <v>8.8185825382964129</v>
      </c>
      <c r="E105" s="6" t="s">
        <v>13</v>
      </c>
      <c r="F105" s="6" t="s">
        <v>13</v>
      </c>
    </row>
    <row r="106" spans="1:6">
      <c r="A106">
        <v>101</v>
      </c>
      <c r="B106">
        <v>375.15</v>
      </c>
      <c r="C106">
        <v>2.9970188406512954E-2</v>
      </c>
      <c r="D106">
        <v>8.8820082861198397</v>
      </c>
      <c r="E106" s="6" t="s">
        <v>13</v>
      </c>
      <c r="F106" s="6" t="s">
        <v>13</v>
      </c>
    </row>
    <row r="107" spans="1:6">
      <c r="A107">
        <v>102</v>
      </c>
      <c r="B107">
        <v>376.15</v>
      </c>
      <c r="C107">
        <v>2.9816473990634702E-2</v>
      </c>
      <c r="D107">
        <v>8.9451958296826035</v>
      </c>
      <c r="E107" s="6" t="s">
        <v>13</v>
      </c>
      <c r="F107" s="6" t="s">
        <v>13</v>
      </c>
    </row>
    <row r="108" spans="1:6">
      <c r="A108">
        <v>103</v>
      </c>
      <c r="B108">
        <v>377.15</v>
      </c>
      <c r="C108">
        <v>2.9665046285703087E-2</v>
      </c>
      <c r="D108">
        <v>9.0081383214487811</v>
      </c>
      <c r="E108" s="6" t="s">
        <v>13</v>
      </c>
      <c r="F108" s="6" t="s">
        <v>13</v>
      </c>
    </row>
    <row r="109" spans="1:6">
      <c r="A109">
        <v>104</v>
      </c>
      <c r="B109">
        <v>378.15</v>
      </c>
      <c r="C109">
        <v>2.9515929720423675E-2</v>
      </c>
      <c r="D109">
        <v>9.0708289138824387</v>
      </c>
      <c r="E109" s="6" t="s">
        <v>13</v>
      </c>
      <c r="F109" s="6" t="s">
        <v>13</v>
      </c>
    </row>
    <row r="110" spans="1:6">
      <c r="A110">
        <v>105</v>
      </c>
      <c r="B110">
        <v>379.15</v>
      </c>
      <c r="C110">
        <v>2.936914872350203E-2</v>
      </c>
      <c r="D110">
        <v>9.1332607594476514</v>
      </c>
      <c r="E110" s="6" t="s">
        <v>13</v>
      </c>
      <c r="F110" s="6" t="s">
        <v>13</v>
      </c>
    </row>
    <row r="111" spans="1:6">
      <c r="A111">
        <v>106</v>
      </c>
      <c r="B111">
        <v>380.15</v>
      </c>
      <c r="C111">
        <v>2.9224727723643706E-2</v>
      </c>
      <c r="D111">
        <v>9.1954270106084888</v>
      </c>
      <c r="E111" s="6" t="s">
        <v>13</v>
      </c>
      <c r="F111" s="6" t="s">
        <v>13</v>
      </c>
    </row>
    <row r="112" spans="1:6">
      <c r="A112">
        <v>107</v>
      </c>
      <c r="B112">
        <v>381.15</v>
      </c>
      <c r="C112">
        <v>2.9082691149554273E-2</v>
      </c>
      <c r="D112">
        <v>9.2573208198290189</v>
      </c>
      <c r="E112" s="6" t="s">
        <v>13</v>
      </c>
      <c r="F112" s="6" t="s">
        <v>13</v>
      </c>
    </row>
    <row r="113" spans="1:6">
      <c r="A113">
        <v>108</v>
      </c>
      <c r="B113">
        <v>382.15</v>
      </c>
      <c r="C113">
        <v>2.8943063429939284E-2</v>
      </c>
      <c r="D113">
        <v>9.318935339573315</v>
      </c>
      <c r="E113" s="6" t="s">
        <v>13</v>
      </c>
      <c r="F113" s="6" t="s">
        <v>13</v>
      </c>
    </row>
    <row r="114" spans="1:6">
      <c r="A114">
        <v>109</v>
      </c>
      <c r="B114">
        <v>383.15</v>
      </c>
      <c r="C114">
        <v>2.8805868993504315E-2</v>
      </c>
      <c r="D114">
        <v>9.3802637223054521</v>
      </c>
      <c r="E114" s="6" t="s">
        <v>13</v>
      </c>
      <c r="F114" s="6" t="s">
        <v>13</v>
      </c>
    </row>
    <row r="115" spans="1:6">
      <c r="A115">
        <v>110</v>
      </c>
      <c r="B115">
        <v>384.15</v>
      </c>
      <c r="C115">
        <v>2.8671132268954916E-2</v>
      </c>
      <c r="D115">
        <v>9.4412991204894965</v>
      </c>
      <c r="E115" s="6" t="s">
        <v>13</v>
      </c>
      <c r="F115" s="6" t="s">
        <v>13</v>
      </c>
    </row>
    <row r="116" spans="1:6">
      <c r="A116">
        <v>111</v>
      </c>
      <c r="B116">
        <v>385.15</v>
      </c>
      <c r="C116">
        <v>2.853887768499665E-2</v>
      </c>
      <c r="D116">
        <v>9.5020346865895196</v>
      </c>
      <c r="E116" s="6" t="s">
        <v>13</v>
      </c>
      <c r="F116" s="6" t="s">
        <v>13</v>
      </c>
    </row>
    <row r="117" spans="1:6">
      <c r="A117">
        <v>112</v>
      </c>
      <c r="B117">
        <v>386.15</v>
      </c>
      <c r="C117">
        <v>2.8409129670335084E-2</v>
      </c>
      <c r="D117">
        <v>9.5624635730695928</v>
      </c>
      <c r="E117" s="6" t="s">
        <v>13</v>
      </c>
      <c r="F117" s="6" t="s">
        <v>13</v>
      </c>
    </row>
    <row r="118" spans="1:6">
      <c r="A118">
        <v>113</v>
      </c>
      <c r="B118">
        <v>387.15</v>
      </c>
      <c r="C118">
        <v>2.8281912653675783E-2</v>
      </c>
      <c r="D118">
        <v>9.6225789323937896</v>
      </c>
      <c r="E118" s="6" t="s">
        <v>13</v>
      </c>
      <c r="F118" s="6" t="s">
        <v>13</v>
      </c>
    </row>
    <row r="119" spans="1:6">
      <c r="A119">
        <v>114</v>
      </c>
      <c r="B119">
        <v>388.15</v>
      </c>
      <c r="C119">
        <v>2.8157251063724298E-2</v>
      </c>
      <c r="D119">
        <v>9.6823739170261813</v>
      </c>
      <c r="E119" s="6" t="s">
        <v>13</v>
      </c>
      <c r="F119" s="6" t="s">
        <v>13</v>
      </c>
    </row>
    <row r="120" spans="1:6">
      <c r="A120">
        <v>115</v>
      </c>
      <c r="B120">
        <v>389.15</v>
      </c>
      <c r="C120">
        <v>2.8035169329186201E-2</v>
      </c>
      <c r="D120">
        <v>9.7418416794308342</v>
      </c>
      <c r="E120" s="6" t="s">
        <v>13</v>
      </c>
      <c r="F120" s="6" t="s">
        <v>13</v>
      </c>
    </row>
    <row r="121" spans="1:6">
      <c r="A121">
        <v>116</v>
      </c>
      <c r="B121">
        <v>390.15</v>
      </c>
      <c r="C121">
        <v>2.7915691878767052E-2</v>
      </c>
      <c r="D121">
        <v>9.8009753720718233</v>
      </c>
      <c r="E121" s="6" t="s">
        <v>13</v>
      </c>
      <c r="F121" s="6" t="s">
        <v>13</v>
      </c>
    </row>
    <row r="122" spans="1:6">
      <c r="A122">
        <v>117</v>
      </c>
      <c r="B122">
        <v>391.15</v>
      </c>
      <c r="C122">
        <v>2.7798843141172411E-2</v>
      </c>
      <c r="D122">
        <v>9.8597681474132202</v>
      </c>
      <c r="E122" s="6" t="s">
        <v>13</v>
      </c>
      <c r="F122" s="6" t="s">
        <v>13</v>
      </c>
    </row>
    <row r="123" spans="1:6">
      <c r="A123">
        <v>118</v>
      </c>
      <c r="B123">
        <v>392.15</v>
      </c>
      <c r="C123">
        <v>2.7684647545107844E-2</v>
      </c>
      <c r="D123">
        <v>9.9182131579190944</v>
      </c>
      <c r="E123" s="6" t="s">
        <v>13</v>
      </c>
      <c r="F123" s="6" t="s">
        <v>13</v>
      </c>
    </row>
    <row r="124" spans="1:6">
      <c r="A124">
        <v>119</v>
      </c>
      <c r="B124">
        <v>393.15</v>
      </c>
      <c r="C124">
        <v>2.7573129519278903E-2</v>
      </c>
      <c r="D124">
        <v>9.9763035560535194</v>
      </c>
      <c r="E124" s="6" t="s">
        <v>13</v>
      </c>
      <c r="F124" s="6" t="s">
        <v>13</v>
      </c>
    </row>
    <row r="125" spans="1:6">
      <c r="A125">
        <v>120</v>
      </c>
      <c r="B125">
        <v>394.15</v>
      </c>
      <c r="C125">
        <v>2.746431349239116E-2</v>
      </c>
      <c r="D125">
        <v>10.034032494280561</v>
      </c>
      <c r="E125" s="6" t="s">
        <v>13</v>
      </c>
      <c r="F125" s="6" t="s">
        <v>13</v>
      </c>
    </row>
    <row r="126" spans="1:6">
      <c r="A126">
        <v>121</v>
      </c>
      <c r="B126">
        <v>395.15</v>
      </c>
      <c r="C126">
        <v>2.7358223893150173E-2</v>
      </c>
      <c r="D126">
        <v>10.091393125064295</v>
      </c>
      <c r="E126" s="6" t="s">
        <v>13</v>
      </c>
      <c r="F126" s="6" t="s">
        <v>13</v>
      </c>
    </row>
    <row r="127" spans="1:6">
      <c r="A127">
        <v>122</v>
      </c>
      <c r="B127">
        <v>396.15</v>
      </c>
      <c r="C127">
        <v>2.7254885150261518E-2</v>
      </c>
      <c r="D127">
        <v>10.148378600868794</v>
      </c>
      <c r="E127" s="6" t="s">
        <v>13</v>
      </c>
      <c r="F127" s="6" t="s">
        <v>13</v>
      </c>
    </row>
    <row r="128" spans="1:6">
      <c r="A128">
        <v>123</v>
      </c>
      <c r="B128">
        <v>397.15</v>
      </c>
      <c r="C128">
        <v>2.7154321692430733E-2</v>
      </c>
      <c r="D128">
        <v>10.204982074158124</v>
      </c>
      <c r="E128" s="6" t="s">
        <v>13</v>
      </c>
      <c r="F128" s="6" t="s">
        <v>13</v>
      </c>
    </row>
    <row r="129" spans="1:6">
      <c r="A129">
        <v>124</v>
      </c>
      <c r="B129">
        <v>398.15</v>
      </c>
      <c r="C129">
        <v>2.7056557948363397E-2</v>
      </c>
      <c r="D129">
        <v>10.261196697396359</v>
      </c>
      <c r="E129" s="6" t="s">
        <v>13</v>
      </c>
      <c r="F129" s="6" t="s">
        <v>13</v>
      </c>
    </row>
    <row r="130" spans="1:6">
      <c r="A130">
        <v>125</v>
      </c>
      <c r="B130">
        <v>399.15</v>
      </c>
      <c r="C130">
        <v>2.6961618346765068E-2</v>
      </c>
      <c r="D130">
        <v>10.317015623047569</v>
      </c>
      <c r="E130" s="6" t="s">
        <v>13</v>
      </c>
      <c r="F130" s="6" t="s">
        <v>13</v>
      </c>
    </row>
    <row r="131" spans="1:6">
      <c r="A131">
        <v>126</v>
      </c>
      <c r="B131">
        <v>400.15</v>
      </c>
      <c r="C131">
        <v>2.6869527316341305E-2</v>
      </c>
      <c r="D131">
        <v>10.372432003575828</v>
      </c>
      <c r="E131" s="6" t="s">
        <v>13</v>
      </c>
      <c r="F131" s="6" t="s">
        <v>13</v>
      </c>
    </row>
    <row r="132" spans="1:6">
      <c r="A132">
        <v>127</v>
      </c>
      <c r="B132">
        <v>401.15</v>
      </c>
      <c r="C132">
        <v>2.6780309285797669E-2</v>
      </c>
      <c r="D132">
        <v>10.427438991445205</v>
      </c>
      <c r="E132" s="6" t="s">
        <v>13</v>
      </c>
      <c r="F132" s="6" t="s">
        <v>13</v>
      </c>
    </row>
    <row r="133" spans="1:6">
      <c r="A133">
        <v>128</v>
      </c>
      <c r="B133">
        <v>402.15</v>
      </c>
      <c r="C133">
        <v>2.669398868383973E-2</v>
      </c>
      <c r="D133">
        <v>10.482029739119769</v>
      </c>
      <c r="E133" s="6" t="s">
        <v>13</v>
      </c>
      <c r="F133" s="6" t="s">
        <v>13</v>
      </c>
    </row>
    <row r="134" spans="1:6">
      <c r="A134">
        <v>129</v>
      </c>
      <c r="B134">
        <v>265.14999999999998</v>
      </c>
      <c r="C134">
        <v>0.12226542859759838</v>
      </c>
      <c r="D134">
        <v>3.3965606490013407</v>
      </c>
      <c r="E134" s="6" t="s">
        <v>13</v>
      </c>
      <c r="F134" s="6" t="s">
        <v>13</v>
      </c>
    </row>
    <row r="135" spans="1:6">
      <c r="A135">
        <v>130</v>
      </c>
      <c r="B135">
        <v>266.14999999999998</v>
      </c>
      <c r="C135">
        <v>0.12175363758593478</v>
      </c>
      <c r="D135">
        <v>3.5042504786315316</v>
      </c>
      <c r="E135" s="6" t="s">
        <v>13</v>
      </c>
      <c r="F135" s="6" t="s">
        <v>13</v>
      </c>
    </row>
    <row r="136" spans="1:6">
      <c r="A136">
        <v>131</v>
      </c>
      <c r="B136">
        <v>267.14999999999998</v>
      </c>
      <c r="C136">
        <v>0.12123855397814286</v>
      </c>
      <c r="D136">
        <v>3.6132131534774934</v>
      </c>
      <c r="E136" s="6" t="s">
        <v>13</v>
      </c>
      <c r="F136" s="6" t="s">
        <v>13</v>
      </c>
    </row>
    <row r="137" spans="1:6">
      <c r="A137">
        <v>132</v>
      </c>
      <c r="B137">
        <v>268.14999999999998</v>
      </c>
      <c r="C137">
        <v>0.12072027196423651</v>
      </c>
      <c r="D137">
        <v>3.723430484627031</v>
      </c>
      <c r="E137" s="6" t="s">
        <v>13</v>
      </c>
      <c r="F137" s="6" t="s">
        <v>13</v>
      </c>
    </row>
    <row r="138" spans="1:6">
      <c r="A138">
        <v>133</v>
      </c>
      <c r="B138">
        <v>269.14999999999998</v>
      </c>
      <c r="C138">
        <v>0.12019888573422963</v>
      </c>
      <c r="D138">
        <v>3.8348842831679466</v>
      </c>
      <c r="E138" s="6" t="s">
        <v>13</v>
      </c>
      <c r="F138" s="6" t="s">
        <v>13</v>
      </c>
    </row>
    <row r="139" spans="1:6">
      <c r="A139">
        <v>134</v>
      </c>
      <c r="B139">
        <v>270.14999999999998</v>
      </c>
      <c r="C139">
        <v>0.11967448947813612</v>
      </c>
      <c r="D139">
        <v>3.9475563601880452</v>
      </c>
      <c r="E139" s="6" t="s">
        <v>13</v>
      </c>
      <c r="F139" s="6" t="s">
        <v>13</v>
      </c>
    </row>
    <row r="140" spans="1:6">
      <c r="A140">
        <v>135</v>
      </c>
      <c r="B140">
        <v>271.14999999999998</v>
      </c>
      <c r="C140">
        <v>0.11914717738596983</v>
      </c>
      <c r="D140">
        <v>4.0614285267751313</v>
      </c>
      <c r="E140" s="6" t="s">
        <v>13</v>
      </c>
      <c r="F140" s="6" t="s">
        <v>13</v>
      </c>
    </row>
    <row r="141" spans="1:6">
      <c r="A141">
        <v>136</v>
      </c>
      <c r="B141">
        <v>272.14999999999998</v>
      </c>
      <c r="C141">
        <v>0.11861704364774468</v>
      </c>
      <c r="D141">
        <v>4.1764825940170072</v>
      </c>
      <c r="E141" s="6" t="s">
        <v>13</v>
      </c>
      <c r="F141" s="6" t="s">
        <v>13</v>
      </c>
    </row>
    <row r="142" spans="1:6">
      <c r="A142">
        <v>137</v>
      </c>
      <c r="B142">
        <v>273.14999999999998</v>
      </c>
      <c r="C142">
        <v>0.11808418245347452</v>
      </c>
      <c r="D142">
        <v>4.2927003730014794</v>
      </c>
      <c r="E142" s="6" t="s">
        <v>13</v>
      </c>
      <c r="F142" s="6" t="s">
        <v>13</v>
      </c>
    </row>
    <row r="143" spans="1:6">
      <c r="A143">
        <v>138</v>
      </c>
      <c r="B143">
        <v>274.14999999999998</v>
      </c>
      <c r="C143">
        <v>0.11754868799317326</v>
      </c>
      <c r="D143">
        <v>4.4100636748163504</v>
      </c>
      <c r="E143" s="6" t="s">
        <v>13</v>
      </c>
      <c r="F143" s="6" t="s">
        <v>13</v>
      </c>
    </row>
    <row r="144" spans="1:6">
      <c r="A144">
        <v>139</v>
      </c>
      <c r="B144">
        <v>275.14999999999998</v>
      </c>
      <c r="C144">
        <v>0.1170106544568548</v>
      </c>
      <c r="D144">
        <v>4.5285543105494241</v>
      </c>
      <c r="E144" s="6" t="s">
        <v>13</v>
      </c>
      <c r="F144" s="6" t="s">
        <v>13</v>
      </c>
    </row>
    <row r="145" spans="1:6">
      <c r="A145">
        <v>140</v>
      </c>
      <c r="B145">
        <v>276.14999999999998</v>
      </c>
      <c r="C145">
        <v>0.11647017603453301</v>
      </c>
      <c r="D145">
        <v>4.6481540912885038</v>
      </c>
      <c r="E145" s="6" t="s">
        <v>13</v>
      </c>
      <c r="F145" s="6" t="s">
        <v>13</v>
      </c>
    </row>
    <row r="146" spans="1:6">
      <c r="A146">
        <v>141</v>
      </c>
      <c r="B146">
        <v>277.14999999999998</v>
      </c>
      <c r="C146">
        <v>0.11592734691622178</v>
      </c>
      <c r="D146">
        <v>4.7688448281213969</v>
      </c>
      <c r="E146" s="6" t="s">
        <v>13</v>
      </c>
      <c r="F146" s="6" t="s">
        <v>13</v>
      </c>
    </row>
    <row r="147" spans="1:6">
      <c r="A147">
        <v>142</v>
      </c>
      <c r="B147">
        <v>278.14999999999998</v>
      </c>
      <c r="C147">
        <v>0.11538226129193499</v>
      </c>
      <c r="D147">
        <v>4.8906083321359022</v>
      </c>
      <c r="E147" s="6" t="s">
        <v>13</v>
      </c>
      <c r="F147" s="6" t="s">
        <v>13</v>
      </c>
    </row>
    <row r="148" spans="1:6">
      <c r="A148">
        <v>143</v>
      </c>
      <c r="B148">
        <v>279.14999999999998</v>
      </c>
      <c r="C148">
        <v>0.11483501335168654</v>
      </c>
      <c r="D148">
        <v>5.0134264144198291</v>
      </c>
      <c r="E148" s="6" t="s">
        <v>13</v>
      </c>
      <c r="F148" s="6" t="s">
        <v>13</v>
      </c>
    </row>
    <row r="149" spans="1:6">
      <c r="A149">
        <v>144</v>
      </c>
      <c r="B149">
        <v>280.14999999999998</v>
      </c>
      <c r="C149">
        <v>0.1142856972854903</v>
      </c>
      <c r="D149">
        <v>5.1372808860609771</v>
      </c>
      <c r="E149" s="6" t="s">
        <v>13</v>
      </c>
      <c r="F149" s="6" t="s">
        <v>13</v>
      </c>
    </row>
    <row r="150" spans="1:6">
      <c r="A150">
        <v>145</v>
      </c>
      <c r="B150">
        <v>281.14999999999998</v>
      </c>
      <c r="C150">
        <v>0.11373440728336019</v>
      </c>
      <c r="D150">
        <v>5.262153558147153</v>
      </c>
      <c r="E150" s="6" t="s">
        <v>13</v>
      </c>
      <c r="F150" s="6" t="s">
        <v>13</v>
      </c>
    </row>
    <row r="151" spans="1:6">
      <c r="A151">
        <v>146</v>
      </c>
      <c r="B151">
        <v>282.14999999999998</v>
      </c>
      <c r="C151">
        <v>0.11318123753531005</v>
      </c>
      <c r="D151">
        <v>5.3880262417661591</v>
      </c>
      <c r="E151" s="6" t="s">
        <v>13</v>
      </c>
      <c r="F151" s="6" t="s">
        <v>13</v>
      </c>
    </row>
    <row r="152" spans="1:6">
      <c r="A152">
        <v>147</v>
      </c>
      <c r="B152">
        <v>283.14999999999998</v>
      </c>
      <c r="C152">
        <v>0.11262628223135381</v>
      </c>
      <c r="D152">
        <v>5.514880748005802</v>
      </c>
      <c r="E152" s="6" t="s">
        <v>13</v>
      </c>
      <c r="F152" s="6" t="s">
        <v>13</v>
      </c>
    </row>
    <row r="153" spans="1:6">
      <c r="A153">
        <v>148</v>
      </c>
      <c r="B153">
        <v>284.14999999999998</v>
      </c>
      <c r="C153">
        <v>0.11206963556150533</v>
      </c>
      <c r="D153">
        <v>5.6426988879538831</v>
      </c>
      <c r="E153" s="6" t="s">
        <v>13</v>
      </c>
      <c r="F153" s="6" t="s">
        <v>13</v>
      </c>
    </row>
    <row r="154" spans="1:6">
      <c r="A154">
        <v>149</v>
      </c>
      <c r="B154">
        <v>285.14999999999998</v>
      </c>
      <c r="C154">
        <v>0.11151139171577849</v>
      </c>
      <c r="D154">
        <v>5.7714624726982064</v>
      </c>
      <c r="E154" s="6" t="s">
        <v>13</v>
      </c>
      <c r="F154" s="6" t="s">
        <v>13</v>
      </c>
    </row>
    <row r="155" spans="1:6">
      <c r="A155">
        <v>150</v>
      </c>
      <c r="B155">
        <v>286.14999999999998</v>
      </c>
      <c r="C155">
        <v>0.11095164488418721</v>
      </c>
      <c r="D155">
        <v>5.9011533133265788</v>
      </c>
      <c r="E155" s="6" t="s">
        <v>13</v>
      </c>
      <c r="F155" s="6" t="s">
        <v>13</v>
      </c>
    </row>
    <row r="156" spans="1:6">
      <c r="A156">
        <v>151</v>
      </c>
      <c r="B156">
        <v>287.14999999999998</v>
      </c>
      <c r="C156">
        <v>0.11039048925674534</v>
      </c>
      <c r="D156">
        <v>6.0317532209268006</v>
      </c>
      <c r="E156" s="6" t="s">
        <v>13</v>
      </c>
      <c r="F156" s="6" t="s">
        <v>13</v>
      </c>
    </row>
    <row r="157" spans="1:6">
      <c r="A157">
        <v>152</v>
      </c>
      <c r="B157">
        <v>288.14999999999998</v>
      </c>
      <c r="C157">
        <v>0.10982801902346682</v>
      </c>
      <c r="D157">
        <v>6.1632440065866785</v>
      </c>
      <c r="E157" s="6" t="s">
        <v>13</v>
      </c>
      <c r="F157" s="6" t="s">
        <v>13</v>
      </c>
    </row>
    <row r="158" spans="1:6">
      <c r="A158">
        <v>153</v>
      </c>
      <c r="B158">
        <v>289.14999999999998</v>
      </c>
      <c r="C158">
        <v>0.10926432837436546</v>
      </c>
      <c r="D158">
        <v>6.2956074813940148</v>
      </c>
      <c r="E158" s="6" t="s">
        <v>13</v>
      </c>
      <c r="F158" s="6" t="s">
        <v>13</v>
      </c>
    </row>
    <row r="159" spans="1:6">
      <c r="A159">
        <v>154</v>
      </c>
      <c r="B159">
        <v>290.14999999999998</v>
      </c>
      <c r="C159">
        <v>0.10869951149945523</v>
      </c>
      <c r="D159">
        <v>6.4288254564366154</v>
      </c>
      <c r="E159" s="6" t="s">
        <v>13</v>
      </c>
      <c r="F159" s="6" t="s">
        <v>13</v>
      </c>
    </row>
    <row r="160" spans="1:6">
      <c r="A160">
        <v>155</v>
      </c>
      <c r="B160">
        <v>291.14999999999998</v>
      </c>
      <c r="C160">
        <v>0.10813366258874996</v>
      </c>
      <c r="D160">
        <v>6.5628797428022807</v>
      </c>
      <c r="E160" s="6" t="s">
        <v>13</v>
      </c>
      <c r="F160" s="6" t="s">
        <v>13</v>
      </c>
    </row>
    <row r="161" spans="1:6">
      <c r="A161">
        <v>156</v>
      </c>
      <c r="B161">
        <v>292.14999999999998</v>
      </c>
      <c r="C161">
        <v>0.10756687583226354</v>
      </c>
      <c r="D161">
        <v>6.6977521515788192</v>
      </c>
      <c r="E161" s="6" t="s">
        <v>13</v>
      </c>
      <c r="F161" s="6" t="s">
        <v>13</v>
      </c>
    </row>
    <row r="162" spans="1:6">
      <c r="A162">
        <v>157</v>
      </c>
      <c r="B162">
        <v>293.14999999999998</v>
      </c>
      <c r="C162">
        <v>0.10699924542000988</v>
      </c>
      <c r="D162">
        <v>6.8334244938540332</v>
      </c>
      <c r="E162" s="6" t="s">
        <v>13</v>
      </c>
      <c r="F162" s="6" t="s">
        <v>13</v>
      </c>
    </row>
    <row r="163" spans="1:6">
      <c r="A163">
        <v>158</v>
      </c>
      <c r="B163">
        <v>294.14999999999998</v>
      </c>
      <c r="C163">
        <v>0.10643086554200284</v>
      </c>
      <c r="D163">
        <v>6.9698785807157257</v>
      </c>
      <c r="E163" s="6" t="s">
        <v>13</v>
      </c>
      <c r="F163" s="6" t="s">
        <v>13</v>
      </c>
    </row>
    <row r="164" spans="1:6">
      <c r="A164">
        <v>159</v>
      </c>
      <c r="B164">
        <v>295.14999999999998</v>
      </c>
      <c r="C164">
        <v>0.10586183038825636</v>
      </c>
      <c r="D164">
        <v>7.1070962232517019</v>
      </c>
      <c r="E164" s="6" t="s">
        <v>13</v>
      </c>
      <c r="F164" s="6" t="s">
        <v>13</v>
      </c>
    </row>
    <row r="165" spans="1:6">
      <c r="A165">
        <v>160</v>
      </c>
      <c r="B165">
        <v>296.14999999999998</v>
      </c>
      <c r="C165">
        <v>0.10529223414878426</v>
      </c>
      <c r="D165">
        <v>7.2450592325497647</v>
      </c>
      <c r="E165" s="6" t="s">
        <v>13</v>
      </c>
      <c r="F165" s="6" t="s">
        <v>13</v>
      </c>
    </row>
    <row r="166" spans="1:6">
      <c r="A166">
        <v>161</v>
      </c>
      <c r="B166">
        <v>297.14999999999998</v>
      </c>
      <c r="C166">
        <v>0.10472217101360047</v>
      </c>
      <c r="D166">
        <v>7.3837494196977174</v>
      </c>
      <c r="E166" s="6" t="s">
        <v>13</v>
      </c>
      <c r="F166" s="6" t="s">
        <v>13</v>
      </c>
    </row>
    <row r="167" spans="1:6">
      <c r="A167">
        <v>162</v>
      </c>
      <c r="B167">
        <v>298.14999999999998</v>
      </c>
      <c r="C167">
        <v>0.10415173517271886</v>
      </c>
      <c r="D167">
        <v>7.5231485957833666</v>
      </c>
      <c r="E167" s="6" t="s">
        <v>13</v>
      </c>
      <c r="F167" s="6" t="s">
        <v>13</v>
      </c>
    </row>
    <row r="168" spans="1:6">
      <c r="A168">
        <v>163</v>
      </c>
      <c r="B168">
        <v>299.14999999999998</v>
      </c>
      <c r="C168">
        <v>0.10358102081615334</v>
      </c>
      <c r="D168">
        <v>7.6632385718945155</v>
      </c>
      <c r="E168" s="6" t="s">
        <v>13</v>
      </c>
      <c r="F168" s="6" t="s">
        <v>13</v>
      </c>
    </row>
    <row r="169" spans="1:6">
      <c r="A169">
        <v>164</v>
      </c>
      <c r="B169">
        <v>300.14999999999998</v>
      </c>
      <c r="C169">
        <v>0.10301012213391776</v>
      </c>
      <c r="D169">
        <v>7.8040011591189673</v>
      </c>
      <c r="E169" s="6" t="s">
        <v>13</v>
      </c>
      <c r="F169" s="6" t="s">
        <v>13</v>
      </c>
    </row>
    <row r="170" spans="1:6">
      <c r="A170">
        <v>165</v>
      </c>
      <c r="B170">
        <v>301.14999999999998</v>
      </c>
      <c r="C170">
        <v>0.10243913331602603</v>
      </c>
      <c r="D170">
        <v>7.945418168544526</v>
      </c>
      <c r="E170" s="6" t="s">
        <v>13</v>
      </c>
      <c r="F170" s="6" t="s">
        <v>13</v>
      </c>
    </row>
    <row r="171" spans="1:6">
      <c r="A171">
        <v>166</v>
      </c>
      <c r="B171">
        <v>302.14999999999998</v>
      </c>
      <c r="C171">
        <v>0.10186814855249203</v>
      </c>
      <c r="D171">
        <v>8.0874714112589974</v>
      </c>
      <c r="E171" s="6" t="s">
        <v>13</v>
      </c>
      <c r="F171" s="6" t="s">
        <v>13</v>
      </c>
    </row>
    <row r="172" spans="1:6">
      <c r="A172">
        <v>167</v>
      </c>
      <c r="B172">
        <v>303.14999999999998</v>
      </c>
      <c r="C172">
        <v>0.10129726203332966</v>
      </c>
      <c r="D172">
        <v>8.230142698350182</v>
      </c>
      <c r="E172" s="6" t="s">
        <v>13</v>
      </c>
      <c r="F172" s="6" t="s">
        <v>13</v>
      </c>
    </row>
    <row r="173" spans="1:6">
      <c r="A173">
        <v>168</v>
      </c>
      <c r="B173">
        <v>304.14999999999998</v>
      </c>
      <c r="C173">
        <v>0.10072656794855277</v>
      </c>
      <c r="D173">
        <v>8.3734138409058865</v>
      </c>
      <c r="E173" s="6" t="s">
        <v>13</v>
      </c>
      <c r="F173" s="6" t="s">
        <v>13</v>
      </c>
    </row>
    <row r="174" spans="1:6">
      <c r="A174">
        <v>169</v>
      </c>
      <c r="B174">
        <v>305.14999999999998</v>
      </c>
      <c r="C174">
        <v>0.10015616048817529</v>
      </c>
      <c r="D174">
        <v>8.5172666500139158</v>
      </c>
      <c r="E174" s="6" t="s">
        <v>13</v>
      </c>
      <c r="F174" s="6" t="s">
        <v>13</v>
      </c>
    </row>
    <row r="175" spans="1:6">
      <c r="A175">
        <v>170</v>
      </c>
      <c r="B175">
        <v>306.14999999999998</v>
      </c>
      <c r="C175">
        <v>9.95861338422111E-2</v>
      </c>
      <c r="D175">
        <v>8.6616829367620713</v>
      </c>
      <c r="E175" s="6" t="s">
        <v>13</v>
      </c>
      <c r="F175" s="6" t="s">
        <v>13</v>
      </c>
    </row>
    <row r="176" spans="1:6">
      <c r="A176">
        <v>171</v>
      </c>
      <c r="B176">
        <v>307.14999999999998</v>
      </c>
      <c r="C176">
        <v>9.9016582200674066E-2</v>
      </c>
      <c r="D176">
        <v>8.8066445122381563</v>
      </c>
      <c r="E176" s="6" t="s">
        <v>13</v>
      </c>
      <c r="F176" s="6" t="s">
        <v>13</v>
      </c>
    </row>
    <row r="177" spans="1:6">
      <c r="A177">
        <v>172</v>
      </c>
      <c r="B177">
        <v>308.14999999999998</v>
      </c>
      <c r="C177">
        <v>9.8447599753578072E-2</v>
      </c>
      <c r="D177">
        <v>8.952133187529979</v>
      </c>
      <c r="E177" s="6" t="s">
        <v>13</v>
      </c>
      <c r="F177" s="6" t="s">
        <v>13</v>
      </c>
    </row>
    <row r="178" spans="1:6">
      <c r="A178">
        <v>173</v>
      </c>
      <c r="B178">
        <v>309.14999999999998</v>
      </c>
      <c r="C178">
        <v>9.7879280690937029E-2</v>
      </c>
      <c r="D178">
        <v>9.0981307737253392</v>
      </c>
      <c r="E178" s="6" t="s">
        <v>13</v>
      </c>
      <c r="F178" s="6" t="s">
        <v>13</v>
      </c>
    </row>
    <row r="179" spans="1:6">
      <c r="A179">
        <v>174</v>
      </c>
      <c r="B179">
        <v>310.14999999999998</v>
      </c>
      <c r="C179">
        <v>9.7311719202764824E-2</v>
      </c>
      <c r="D179">
        <v>9.2446190819120453</v>
      </c>
      <c r="E179" s="6" t="s">
        <v>13</v>
      </c>
      <c r="F179" s="6" t="s">
        <v>13</v>
      </c>
    </row>
    <row r="180" spans="1:6">
      <c r="A180">
        <v>175</v>
      </c>
      <c r="B180">
        <v>311.14999999999998</v>
      </c>
      <c r="C180">
        <v>9.6745009479075328E-2</v>
      </c>
      <c r="D180">
        <v>9.3915799231778987</v>
      </c>
      <c r="E180" s="6" t="s">
        <v>13</v>
      </c>
      <c r="F180" s="6" t="s">
        <v>13</v>
      </c>
    </row>
    <row r="181" spans="1:6">
      <c r="A181">
        <v>176</v>
      </c>
      <c r="B181">
        <v>312.14999999999998</v>
      </c>
      <c r="C181">
        <v>9.6179245709882427E-2</v>
      </c>
      <c r="D181">
        <v>9.5389951086107025</v>
      </c>
      <c r="E181" s="6" t="s">
        <v>13</v>
      </c>
      <c r="F181" s="6" t="s">
        <v>13</v>
      </c>
    </row>
    <row r="182" spans="1:6">
      <c r="A182">
        <v>177</v>
      </c>
      <c r="B182">
        <v>313.14999999999998</v>
      </c>
      <c r="C182">
        <v>9.5614522085200007E-2</v>
      </c>
      <c r="D182">
        <v>9.6868464492982618</v>
      </c>
      <c r="E182" s="6" t="s">
        <v>13</v>
      </c>
      <c r="F182" s="6" t="s">
        <v>13</v>
      </c>
    </row>
    <row r="183" spans="1:6">
      <c r="A183">
        <v>178</v>
      </c>
      <c r="B183">
        <v>314.14999999999998</v>
      </c>
      <c r="C183">
        <v>9.5050932795041995E-2</v>
      </c>
      <c r="D183">
        <v>9.8351157563283795</v>
      </c>
      <c r="E183" s="6" t="s">
        <v>13</v>
      </c>
      <c r="F183" s="6" t="s">
        <v>13</v>
      </c>
    </row>
    <row r="184" spans="1:6">
      <c r="A184">
        <v>179</v>
      </c>
      <c r="B184">
        <v>315.14999999999998</v>
      </c>
      <c r="C184">
        <v>9.4488572029422194E-2</v>
      </c>
      <c r="D184">
        <v>9.9837848407888607</v>
      </c>
      <c r="E184" s="6" t="s">
        <v>13</v>
      </c>
      <c r="F184" s="6" t="s">
        <v>13</v>
      </c>
    </row>
    <row r="185" spans="1:6">
      <c r="A185">
        <v>180</v>
      </c>
      <c r="B185">
        <v>316.14999999999998</v>
      </c>
      <c r="C185">
        <v>9.3927533978354572E-2</v>
      </c>
      <c r="D185">
        <v>10.13283551376751</v>
      </c>
      <c r="E185" s="6" t="s">
        <v>13</v>
      </c>
      <c r="F185" s="6" t="s">
        <v>13</v>
      </c>
    </row>
    <row r="186" spans="1:6">
      <c r="A186">
        <v>181</v>
      </c>
      <c r="B186">
        <v>317.14999999999998</v>
      </c>
      <c r="C186">
        <v>9.3367912831852987E-2</v>
      </c>
      <c r="D186">
        <v>10.282249586352131</v>
      </c>
      <c r="E186" s="6" t="s">
        <v>13</v>
      </c>
      <c r="F186" s="6" t="s">
        <v>13</v>
      </c>
    </row>
    <row r="187" spans="1:6">
      <c r="A187">
        <v>182</v>
      </c>
      <c r="B187">
        <v>318.14999999999998</v>
      </c>
      <c r="C187">
        <v>9.2809802779931339E-2</v>
      </c>
      <c r="D187">
        <v>10.432008869630527</v>
      </c>
      <c r="E187" s="6" t="s">
        <v>13</v>
      </c>
      <c r="F187" s="6" t="s">
        <v>13</v>
      </c>
    </row>
    <row r="188" spans="1:6">
      <c r="A188">
        <v>183</v>
      </c>
      <c r="B188">
        <v>319.14999999999998</v>
      </c>
      <c r="C188">
        <v>9.2253298012603471E-2</v>
      </c>
      <c r="D188">
        <v>10.582095174690503</v>
      </c>
      <c r="E188" s="6" t="s">
        <v>13</v>
      </c>
      <c r="F188" s="6" t="s">
        <v>13</v>
      </c>
    </row>
    <row r="189" spans="1:6">
      <c r="A189">
        <v>184</v>
      </c>
      <c r="B189">
        <v>320.14999999999998</v>
      </c>
      <c r="C189">
        <v>9.1698492719883298E-2</v>
      </c>
      <c r="D189">
        <v>10.732490312619861</v>
      </c>
      <c r="E189" s="6" t="s">
        <v>13</v>
      </c>
      <c r="F189" s="6" t="s">
        <v>13</v>
      </c>
    </row>
    <row r="190" spans="1:6">
      <c r="A190">
        <v>185</v>
      </c>
      <c r="B190">
        <v>321.14999999999998</v>
      </c>
      <c r="C190">
        <v>9.1145481091784733E-2</v>
      </c>
      <c r="D190">
        <v>10.883176094506407</v>
      </c>
      <c r="E190" s="6" t="s">
        <v>13</v>
      </c>
      <c r="F190" s="6" t="s">
        <v>13</v>
      </c>
    </row>
    <row r="191" spans="1:6">
      <c r="A191">
        <v>186</v>
      </c>
      <c r="B191">
        <v>322.14999999999998</v>
      </c>
      <c r="C191">
        <v>9.0594357318321619E-2</v>
      </c>
      <c r="D191">
        <v>11.034134331437947</v>
      </c>
      <c r="E191" s="6" t="s">
        <v>13</v>
      </c>
      <c r="F191" s="6" t="s">
        <v>13</v>
      </c>
    </row>
    <row r="192" spans="1:6">
      <c r="A192">
        <v>187</v>
      </c>
      <c r="B192">
        <v>323.14999999999998</v>
      </c>
      <c r="C192">
        <v>9.0045215589507871E-2</v>
      </c>
      <c r="D192">
        <v>11.18534683450228</v>
      </c>
      <c r="E192" s="6" t="s">
        <v>13</v>
      </c>
      <c r="F192" s="6" t="s">
        <v>13</v>
      </c>
    </row>
    <row r="193" spans="1:6">
      <c r="A193">
        <v>188</v>
      </c>
      <c r="B193">
        <v>324.14999999999998</v>
      </c>
      <c r="C193">
        <v>8.9498150095357359E-2</v>
      </c>
      <c r="D193">
        <v>11.336795414787213</v>
      </c>
      <c r="E193" s="6" t="s">
        <v>13</v>
      </c>
      <c r="F193" s="6" t="s">
        <v>13</v>
      </c>
    </row>
    <row r="194" spans="1:6">
      <c r="A194">
        <v>189</v>
      </c>
      <c r="B194">
        <v>325.14999999999998</v>
      </c>
      <c r="C194">
        <v>8.8953255025883984E-2</v>
      </c>
      <c r="D194">
        <v>11.488461883380548</v>
      </c>
      <c r="E194" s="6" t="s">
        <v>13</v>
      </c>
      <c r="F194" s="6" t="s">
        <v>13</v>
      </c>
    </row>
    <row r="195" spans="1:6">
      <c r="A195">
        <v>190</v>
      </c>
      <c r="B195">
        <v>326.14999999999998</v>
      </c>
      <c r="C195">
        <v>8.8410624571101631E-2</v>
      </c>
      <c r="D195">
        <v>11.640328051370092</v>
      </c>
      <c r="E195" s="6" t="s">
        <v>13</v>
      </c>
      <c r="F195" s="6" t="s">
        <v>13</v>
      </c>
    </row>
    <row r="196" spans="1:6">
      <c r="A196">
        <v>191</v>
      </c>
      <c r="B196">
        <v>327.14999999999998</v>
      </c>
      <c r="C196">
        <v>8.7870352921024172E-2</v>
      </c>
      <c r="D196">
        <v>11.792375729843647</v>
      </c>
      <c r="E196" s="6" t="s">
        <v>13</v>
      </c>
      <c r="F196" s="6" t="s">
        <v>13</v>
      </c>
    </row>
    <row r="197" spans="1:6">
      <c r="A197">
        <v>192</v>
      </c>
      <c r="B197">
        <v>328.15</v>
      </c>
      <c r="C197">
        <v>8.7332534265665521E-2</v>
      </c>
      <c r="D197">
        <v>11.944586729889016</v>
      </c>
      <c r="E197" s="6" t="s">
        <v>13</v>
      </c>
      <c r="F197" s="6" t="s">
        <v>13</v>
      </c>
    </row>
    <row r="198" spans="1:6">
      <c r="A198">
        <v>193</v>
      </c>
      <c r="B198">
        <v>329.15</v>
      </c>
      <c r="C198">
        <v>8.6797262795039534E-2</v>
      </c>
      <c r="D198">
        <v>12.096942862594009</v>
      </c>
      <c r="E198" s="6" t="s">
        <v>13</v>
      </c>
      <c r="F198" s="6" t="s">
        <v>13</v>
      </c>
    </row>
    <row r="199" spans="1:6">
      <c r="A199">
        <v>194</v>
      </c>
      <c r="B199">
        <v>330.15</v>
      </c>
      <c r="C199">
        <v>8.6264632699160126E-2</v>
      </c>
      <c r="D199">
        <v>12.249425939046423</v>
      </c>
      <c r="E199" s="6" t="s">
        <v>13</v>
      </c>
      <c r="F199" s="6" t="s">
        <v>13</v>
      </c>
    </row>
    <row r="200" spans="1:6">
      <c r="A200">
        <v>195</v>
      </c>
      <c r="B200">
        <v>331.15</v>
      </c>
      <c r="C200">
        <v>8.5734738168041141E-2</v>
      </c>
      <c r="D200">
        <v>12.402017770334066</v>
      </c>
      <c r="E200" s="6" t="s">
        <v>13</v>
      </c>
      <c r="F200" s="6" t="s">
        <v>13</v>
      </c>
    </row>
    <row r="201" spans="1:6">
      <c r="A201">
        <v>196</v>
      </c>
      <c r="B201">
        <v>332.15</v>
      </c>
      <c r="C201">
        <v>8.520767339169652E-2</v>
      </c>
      <c r="D201">
        <v>12.554700167544738</v>
      </c>
      <c r="E201" s="6" t="s">
        <v>13</v>
      </c>
      <c r="F201" s="6" t="s">
        <v>13</v>
      </c>
    </row>
    <row r="202" spans="1:6">
      <c r="A202">
        <v>197</v>
      </c>
      <c r="B202">
        <v>333.15</v>
      </c>
      <c r="C202">
        <v>8.4683532560140107E-2</v>
      </c>
      <c r="D202">
        <v>12.707454941766246</v>
      </c>
      <c r="E202" s="6" t="s">
        <v>13</v>
      </c>
      <c r="F202" s="6" t="s">
        <v>13</v>
      </c>
    </row>
    <row r="203" spans="1:6">
      <c r="A203">
        <v>198</v>
      </c>
      <c r="B203">
        <v>334.15</v>
      </c>
      <c r="C203">
        <v>8.4162409863385815E-2</v>
      </c>
      <c r="D203">
        <v>12.860263904086393</v>
      </c>
      <c r="E203" s="6" t="s">
        <v>13</v>
      </c>
      <c r="F203" s="6" t="s">
        <v>13</v>
      </c>
    </row>
    <row r="204" spans="1:6">
      <c r="A204">
        <v>199</v>
      </c>
      <c r="B204">
        <v>335.15</v>
      </c>
      <c r="C204">
        <v>8.3644399491447544E-2</v>
      </c>
      <c r="D204">
        <v>13.013108865592987</v>
      </c>
      <c r="E204" s="6" t="s">
        <v>13</v>
      </c>
      <c r="F204" s="6" t="s">
        <v>13</v>
      </c>
    </row>
    <row r="205" spans="1:6">
      <c r="A205">
        <v>200</v>
      </c>
      <c r="B205">
        <v>336.15</v>
      </c>
      <c r="C205">
        <v>8.3129595634339151E-2</v>
      </c>
      <c r="D205">
        <v>13.165971637373826</v>
      </c>
      <c r="E205" s="6" t="s">
        <v>13</v>
      </c>
      <c r="F205" s="6" t="s">
        <v>13</v>
      </c>
    </row>
    <row r="206" spans="1:6">
      <c r="A206">
        <v>201</v>
      </c>
      <c r="B206">
        <v>337.15</v>
      </c>
      <c r="C206">
        <v>8.2618092482074523E-2</v>
      </c>
      <c r="D206">
        <v>13.318834030516719</v>
      </c>
      <c r="E206" s="6" t="s">
        <v>13</v>
      </c>
      <c r="F206" s="6" t="s">
        <v>13</v>
      </c>
    </row>
    <row r="207" spans="1:6">
      <c r="A207">
        <v>202</v>
      </c>
      <c r="B207">
        <v>338.15</v>
      </c>
      <c r="C207">
        <v>8.2109984224667545E-2</v>
      </c>
      <c r="D207">
        <v>13.471677856109464</v>
      </c>
      <c r="E207" s="6" t="s">
        <v>13</v>
      </c>
      <c r="F207" s="6" t="s">
        <v>13</v>
      </c>
    </row>
    <row r="208" spans="1:6">
      <c r="A208">
        <v>203</v>
      </c>
      <c r="B208">
        <v>339.15</v>
      </c>
      <c r="C208">
        <v>8.1605365052132131E-2</v>
      </c>
      <c r="D208">
        <v>13.624484925239869</v>
      </c>
      <c r="E208" s="6" t="s">
        <v>13</v>
      </c>
      <c r="F208" s="6" t="s">
        <v>13</v>
      </c>
    </row>
    <row r="209" spans="1:6">
      <c r="A209">
        <v>204</v>
      </c>
      <c r="B209">
        <v>340.15</v>
      </c>
      <c r="C209">
        <v>8.1104329154482152E-2</v>
      </c>
      <c r="D209">
        <v>13.77723704899574</v>
      </c>
      <c r="E209" s="6" t="s">
        <v>13</v>
      </c>
      <c r="F209" s="6" t="s">
        <v>13</v>
      </c>
    </row>
    <row r="210" spans="1:6">
      <c r="A210">
        <v>205</v>
      </c>
      <c r="B210">
        <v>341.15</v>
      </c>
      <c r="C210">
        <v>8.060697072173148E-2</v>
      </c>
      <c r="D210">
        <v>13.929916038464878</v>
      </c>
      <c r="E210" s="6" t="s">
        <v>13</v>
      </c>
      <c r="F210" s="6" t="s">
        <v>13</v>
      </c>
    </row>
    <row r="211" spans="1:6">
      <c r="A211">
        <v>206</v>
      </c>
      <c r="B211">
        <v>342.15</v>
      </c>
      <c r="C211">
        <v>8.0113383943894015E-2</v>
      </c>
      <c r="D211">
        <v>14.082503704735089</v>
      </c>
      <c r="E211" s="6" t="s">
        <v>13</v>
      </c>
      <c r="F211" s="6" t="s">
        <v>13</v>
      </c>
    </row>
    <row r="212" spans="1:6">
      <c r="A212">
        <v>207</v>
      </c>
      <c r="B212">
        <v>343.15</v>
      </c>
      <c r="C212">
        <v>7.9623663010983656E-2</v>
      </c>
      <c r="D212">
        <v>14.234981858894175</v>
      </c>
      <c r="E212" s="6" t="s">
        <v>13</v>
      </c>
      <c r="F212" s="6" t="s">
        <v>13</v>
      </c>
    </row>
    <row r="213" spans="1:6">
      <c r="A213">
        <v>208</v>
      </c>
      <c r="B213">
        <v>344.15</v>
      </c>
      <c r="C213">
        <v>7.9137902113014288E-2</v>
      </c>
      <c r="D213">
        <v>14.387332312029939</v>
      </c>
      <c r="E213" s="6" t="s">
        <v>13</v>
      </c>
      <c r="F213" s="6" t="s">
        <v>13</v>
      </c>
    </row>
    <row r="214" spans="1:6">
      <c r="A214">
        <v>209</v>
      </c>
      <c r="B214">
        <v>345.15</v>
      </c>
      <c r="C214">
        <v>7.8656195439999771E-2</v>
      </c>
      <c r="D214">
        <v>14.539536875230185</v>
      </c>
      <c r="E214" s="6" t="s">
        <v>13</v>
      </c>
      <c r="F214" s="6" t="s">
        <v>13</v>
      </c>
    </row>
    <row r="215" spans="1:6">
      <c r="A215">
        <v>210</v>
      </c>
      <c r="B215">
        <v>346.15</v>
      </c>
      <c r="C215">
        <v>7.8178637181954017E-2</v>
      </c>
      <c r="D215">
        <v>14.691577359582723</v>
      </c>
      <c r="E215" s="6" t="s">
        <v>13</v>
      </c>
      <c r="F215" s="6" t="s">
        <v>13</v>
      </c>
    </row>
    <row r="216" spans="1:6">
      <c r="A216">
        <v>211</v>
      </c>
      <c r="B216">
        <v>347.15</v>
      </c>
      <c r="C216">
        <v>7.7705321528890911E-2</v>
      </c>
      <c r="D216">
        <v>14.84343557617535</v>
      </c>
      <c r="E216" s="6" t="s">
        <v>13</v>
      </c>
      <c r="F216" s="6" t="s">
        <v>13</v>
      </c>
    </row>
    <row r="217" spans="1:6">
      <c r="A217">
        <v>212</v>
      </c>
      <c r="B217">
        <v>348.15</v>
      </c>
      <c r="C217">
        <v>7.7236342670824326E-2</v>
      </c>
      <c r="D217">
        <v>14.99509333609587</v>
      </c>
      <c r="E217" s="6" t="s">
        <v>13</v>
      </c>
      <c r="F217" s="6" t="s">
        <v>13</v>
      </c>
    </row>
    <row r="218" spans="1:6">
      <c r="A218">
        <v>213</v>
      </c>
      <c r="B218">
        <v>349.15</v>
      </c>
      <c r="C218">
        <v>7.6771794797768161E-2</v>
      </c>
      <c r="D218">
        <v>15.146532450432098</v>
      </c>
      <c r="E218" s="6" t="s">
        <v>13</v>
      </c>
      <c r="F218" s="6" t="s">
        <v>13</v>
      </c>
    </row>
    <row r="219" spans="1:6">
      <c r="A219">
        <v>214</v>
      </c>
      <c r="B219">
        <v>350.15</v>
      </c>
      <c r="C219">
        <v>7.6311772099736289E-2</v>
      </c>
      <c r="D219">
        <v>15.297734730271827</v>
      </c>
      <c r="E219" s="6" t="s">
        <v>13</v>
      </c>
      <c r="F219" s="6" t="s">
        <v>13</v>
      </c>
    </row>
    <row r="220" spans="1:6">
      <c r="A220">
        <v>215</v>
      </c>
      <c r="B220">
        <v>351.15</v>
      </c>
      <c r="C220">
        <v>7.5856368766742635E-2</v>
      </c>
      <c r="D220">
        <v>15.44868198670286</v>
      </c>
      <c r="E220" s="6" t="s">
        <v>13</v>
      </c>
      <c r="F220" s="6" t="s">
        <v>13</v>
      </c>
    </row>
    <row r="221" spans="1:6">
      <c r="A221">
        <v>216</v>
      </c>
      <c r="B221">
        <v>352.15</v>
      </c>
      <c r="C221">
        <v>7.5405678988801031E-2</v>
      </c>
      <c r="D221">
        <v>15.599356030813006</v>
      </c>
      <c r="E221" s="6" t="s">
        <v>13</v>
      </c>
      <c r="F221" s="6" t="s">
        <v>13</v>
      </c>
    </row>
    <row r="222" spans="1:6">
      <c r="A222">
        <v>217</v>
      </c>
      <c r="B222">
        <v>353.15</v>
      </c>
      <c r="C222">
        <v>7.4959796955925403E-2</v>
      </c>
      <c r="D222">
        <v>15.749738673690068</v>
      </c>
      <c r="E222" s="6" t="s">
        <v>13</v>
      </c>
      <c r="F222" s="6" t="s">
        <v>13</v>
      </c>
    </row>
    <row r="223" spans="1:6">
      <c r="A223">
        <v>218</v>
      </c>
      <c r="B223">
        <v>354.15</v>
      </c>
      <c r="C223">
        <v>7.4518816858129611E-2</v>
      </c>
      <c r="D223">
        <v>15.899811726421849</v>
      </c>
      <c r="E223" s="6" t="s">
        <v>13</v>
      </c>
      <c r="F223" s="6" t="s">
        <v>13</v>
      </c>
    </row>
    <row r="224" spans="1:6">
      <c r="A224">
        <v>219</v>
      </c>
      <c r="B224">
        <v>355.15</v>
      </c>
      <c r="C224">
        <v>7.4082832885427566E-2</v>
      </c>
      <c r="D224">
        <v>16.049557000096158</v>
      </c>
      <c r="E224" s="6" t="s">
        <v>13</v>
      </c>
      <c r="F224" s="6" t="s">
        <v>13</v>
      </c>
    </row>
    <row r="225" spans="1:6">
      <c r="A225">
        <v>220</v>
      </c>
      <c r="B225">
        <v>356.15</v>
      </c>
      <c r="C225">
        <v>7.3651939227833155E-2</v>
      </c>
      <c r="D225">
        <v>16.198956305800792</v>
      </c>
      <c r="E225" s="6" t="s">
        <v>13</v>
      </c>
      <c r="F225" s="6" t="s">
        <v>13</v>
      </c>
    </row>
    <row r="226" spans="1:6">
      <c r="A226">
        <v>221</v>
      </c>
      <c r="B226">
        <v>357.15</v>
      </c>
      <c r="C226">
        <v>7.3226230075360249E-2</v>
      </c>
      <c r="D226">
        <v>16.347991454623557</v>
      </c>
      <c r="E226" s="6" t="s">
        <v>13</v>
      </c>
      <c r="F226" s="6" t="s">
        <v>13</v>
      </c>
    </row>
    <row r="227" spans="1:6">
      <c r="A227">
        <v>222</v>
      </c>
      <c r="B227">
        <v>358.15</v>
      </c>
      <c r="C227">
        <v>7.2805799618022748E-2</v>
      </c>
      <c r="D227">
        <v>16.49664425765226</v>
      </c>
      <c r="E227" s="6" t="s">
        <v>13</v>
      </c>
      <c r="F227" s="6" t="s">
        <v>13</v>
      </c>
    </row>
    <row r="228" spans="1:6">
      <c r="A228">
        <v>223</v>
      </c>
      <c r="B228">
        <v>359.15</v>
      </c>
      <c r="C228">
        <v>7.2390742045834525E-2</v>
      </c>
      <c r="D228">
        <v>16.644896525974701</v>
      </c>
      <c r="E228" s="6" t="s">
        <v>13</v>
      </c>
      <c r="F228" s="6" t="s">
        <v>13</v>
      </c>
    </row>
    <row r="229" spans="1:6">
      <c r="A229">
        <v>224</v>
      </c>
      <c r="B229">
        <v>360.15</v>
      </c>
      <c r="C229">
        <v>7.1981151548809463E-2</v>
      </c>
      <c r="D229">
        <v>16.792730070678683</v>
      </c>
      <c r="E229" s="6" t="s">
        <v>13</v>
      </c>
      <c r="F229" s="6" t="s">
        <v>13</v>
      </c>
    </row>
    <row r="230" spans="1:6">
      <c r="A230">
        <v>225</v>
      </c>
      <c r="B230">
        <v>361.15</v>
      </c>
      <c r="C230">
        <v>7.1577122316961478E-2</v>
      </c>
      <c r="D230">
        <v>16.940126702852019</v>
      </c>
      <c r="E230" s="6" t="s">
        <v>13</v>
      </c>
      <c r="F230" s="6" t="s">
        <v>13</v>
      </c>
    </row>
    <row r="231" spans="1:6">
      <c r="A231">
        <v>226</v>
      </c>
      <c r="B231">
        <v>362.15</v>
      </c>
      <c r="C231">
        <v>7.1178748540304454E-2</v>
      </c>
      <c r="D231">
        <v>17.087068233582503</v>
      </c>
      <c r="E231" s="6" t="s">
        <v>13</v>
      </c>
      <c r="F231" s="6" t="s">
        <v>13</v>
      </c>
    </row>
    <row r="232" spans="1:6">
      <c r="A232">
        <v>227</v>
      </c>
      <c r="B232">
        <v>363.15</v>
      </c>
      <c r="C232">
        <v>7.0786124408852236E-2</v>
      </c>
      <c r="D232">
        <v>17.233536473957944</v>
      </c>
      <c r="E232" s="6" t="s">
        <v>13</v>
      </c>
      <c r="F232" s="6" t="s">
        <v>13</v>
      </c>
    </row>
    <row r="233" spans="1:6">
      <c r="A233">
        <v>228</v>
      </c>
      <c r="B233">
        <v>364.15</v>
      </c>
      <c r="C233">
        <v>7.0399344112618736E-2</v>
      </c>
      <c r="D233">
        <v>17.379513235066142</v>
      </c>
      <c r="E233" s="6" t="s">
        <v>13</v>
      </c>
      <c r="F233" s="6" t="s">
        <v>13</v>
      </c>
    </row>
    <row r="234" spans="1:6">
      <c r="A234">
        <v>229</v>
      </c>
      <c r="B234">
        <v>365.15</v>
      </c>
      <c r="C234">
        <v>7.0018501841617856E-2</v>
      </c>
      <c r="D234">
        <v>17.524980327994911</v>
      </c>
      <c r="E234" s="6" t="s">
        <v>13</v>
      </c>
      <c r="F234" s="6" t="s">
        <v>13</v>
      </c>
    </row>
    <row r="235" spans="1:6">
      <c r="A235">
        <v>230</v>
      </c>
      <c r="B235">
        <v>366.15</v>
      </c>
      <c r="C235">
        <v>6.9643691785863451E-2</v>
      </c>
      <c r="D235">
        <v>17.669919563832043</v>
      </c>
      <c r="E235" s="6" t="s">
        <v>13</v>
      </c>
      <c r="F235" s="6" t="s">
        <v>13</v>
      </c>
    </row>
    <row r="236" spans="1:6">
      <c r="A236">
        <v>231</v>
      </c>
      <c r="B236">
        <v>367.15</v>
      </c>
      <c r="C236">
        <v>6.9275008135369451E-2</v>
      </c>
      <c r="D236">
        <v>17.814312753665348</v>
      </c>
      <c r="E236" s="6" t="s">
        <v>13</v>
      </c>
      <c r="F236" s="6" t="s">
        <v>13</v>
      </c>
    </row>
    <row r="237" spans="1:6">
      <c r="A237">
        <v>232</v>
      </c>
      <c r="B237">
        <v>368.15</v>
      </c>
      <c r="C237">
        <v>6.8912545080149712E-2</v>
      </c>
      <c r="D237">
        <v>17.95814170858263</v>
      </c>
      <c r="E237" s="6" t="s">
        <v>13</v>
      </c>
      <c r="F237" s="6" t="s">
        <v>13</v>
      </c>
    </row>
    <row r="238" spans="1:6">
      <c r="A238">
        <v>233</v>
      </c>
      <c r="B238">
        <v>369.15</v>
      </c>
      <c r="C238">
        <v>6.8556396810218134E-2</v>
      </c>
      <c r="D238">
        <v>18.101388239671692</v>
      </c>
      <c r="E238" s="6" t="s">
        <v>13</v>
      </c>
      <c r="F238" s="6" t="s">
        <v>13</v>
      </c>
    </row>
    <row r="239" spans="1:6">
      <c r="A239">
        <v>234</v>
      </c>
      <c r="B239">
        <v>370.15</v>
      </c>
      <c r="C239">
        <v>6.8206657515588576E-2</v>
      </c>
      <c r="D239">
        <v>18.244034158020334</v>
      </c>
      <c r="E239" s="6" t="s">
        <v>13</v>
      </c>
      <c r="F239" s="6" t="s">
        <v>13</v>
      </c>
    </row>
    <row r="240" spans="1:6">
      <c r="A240">
        <v>235</v>
      </c>
      <c r="B240">
        <v>371.15</v>
      </c>
      <c r="C240">
        <v>6.786342138627495E-2</v>
      </c>
      <c r="D240">
        <v>18.386061274716365</v>
      </c>
      <c r="E240" s="6" t="s">
        <v>13</v>
      </c>
      <c r="F240" s="6" t="s">
        <v>13</v>
      </c>
    </row>
    <row r="241" spans="1:6">
      <c r="A241">
        <v>236</v>
      </c>
      <c r="B241">
        <v>372.15</v>
      </c>
      <c r="C241">
        <v>6.7526782612291156E-2</v>
      </c>
      <c r="D241">
        <v>18.527451400847589</v>
      </c>
      <c r="E241" s="6" t="s">
        <v>13</v>
      </c>
      <c r="F241" s="6" t="s">
        <v>13</v>
      </c>
    </row>
    <row r="242" spans="1:6">
      <c r="A242">
        <v>237</v>
      </c>
      <c r="B242">
        <v>373.15</v>
      </c>
      <c r="C242">
        <v>6.7196835383651066E-2</v>
      </c>
      <c r="D242">
        <v>18.668186347501805</v>
      </c>
      <c r="E242" s="6" t="s">
        <v>13</v>
      </c>
      <c r="F242" s="6" t="s">
        <v>13</v>
      </c>
    </row>
    <row r="243" spans="1:6">
      <c r="A243">
        <v>238</v>
      </c>
      <c r="B243">
        <v>374.15</v>
      </c>
      <c r="C243">
        <v>6.6873673890368551E-2</v>
      </c>
      <c r="D243">
        <v>18.808247925766828</v>
      </c>
      <c r="E243" s="6" t="s">
        <v>13</v>
      </c>
      <c r="F243" s="6" t="s">
        <v>13</v>
      </c>
    </row>
    <row r="244" spans="1:6">
      <c r="A244">
        <v>239</v>
      </c>
      <c r="B244">
        <v>375.15</v>
      </c>
      <c r="C244">
        <v>6.6557392322457498E-2</v>
      </c>
      <c r="D244">
        <v>18.947617946730457</v>
      </c>
      <c r="E244" s="6" t="s">
        <v>13</v>
      </c>
      <c r="F244" s="6" t="s">
        <v>13</v>
      </c>
    </row>
    <row r="245" spans="1:6">
      <c r="A245">
        <v>240</v>
      </c>
      <c r="B245">
        <v>376.15</v>
      </c>
      <c r="C245">
        <v>6.6248084869931834E-2</v>
      </c>
      <c r="D245">
        <v>19.086278221480484</v>
      </c>
      <c r="E245" s="6" t="s">
        <v>13</v>
      </c>
      <c r="F245" s="6" t="s">
        <v>13</v>
      </c>
    </row>
    <row r="246" spans="1:6">
      <c r="A246">
        <v>241</v>
      </c>
      <c r="B246">
        <v>377.15</v>
      </c>
      <c r="C246">
        <v>6.5945845722805402E-2</v>
      </c>
      <c r="D246">
        <v>19.224210561104734</v>
      </c>
      <c r="E246" s="6" t="s">
        <v>13</v>
      </c>
      <c r="F246" s="6" t="s">
        <v>13</v>
      </c>
    </row>
    <row r="247" spans="1:6">
      <c r="A247">
        <v>242</v>
      </c>
      <c r="B247">
        <v>378.15</v>
      </c>
      <c r="C247">
        <v>6.5650769071092116E-2</v>
      </c>
      <c r="D247">
        <v>19.361396776690992</v>
      </c>
      <c r="E247" s="6" t="s">
        <v>13</v>
      </c>
      <c r="F247" s="6" t="s">
        <v>13</v>
      </c>
    </row>
    <row r="248" spans="1:6">
      <c r="A248">
        <v>243</v>
      </c>
      <c r="B248">
        <v>379.15</v>
      </c>
      <c r="C248">
        <v>6.5362949104805848E-2</v>
      </c>
      <c r="D248">
        <v>19.497818679327068</v>
      </c>
      <c r="E248" s="6" t="s">
        <v>13</v>
      </c>
      <c r="F248" s="6" t="s">
        <v>13</v>
      </c>
    </row>
    <row r="249" spans="1:6">
      <c r="A249">
        <v>244</v>
      </c>
      <c r="B249">
        <v>380.15</v>
      </c>
      <c r="C249">
        <v>6.5082480013960498E-2</v>
      </c>
      <c r="D249">
        <v>19.633458080100777</v>
      </c>
      <c r="E249" s="6" t="s">
        <v>13</v>
      </c>
      <c r="F249" s="6" t="s">
        <v>13</v>
      </c>
    </row>
    <row r="250" spans="1:6">
      <c r="A250">
        <v>245</v>
      </c>
      <c r="B250">
        <v>381.15</v>
      </c>
      <c r="C250">
        <v>6.4809455988569936E-2</v>
      </c>
      <c r="D250">
        <v>19.76829679009991</v>
      </c>
      <c r="E250" s="6" t="s">
        <v>13</v>
      </c>
      <c r="F250" s="6" t="s">
        <v>13</v>
      </c>
    </row>
    <row r="251" spans="1:6">
      <c r="A251">
        <v>246</v>
      </c>
      <c r="B251">
        <v>382.15</v>
      </c>
      <c r="C251">
        <v>6.4543971218648064E-2</v>
      </c>
      <c r="D251">
        <v>19.902316620412275</v>
      </c>
      <c r="E251" s="6" t="s">
        <v>13</v>
      </c>
      <c r="F251" s="6" t="s">
        <v>13</v>
      </c>
    </row>
    <row r="252" spans="1:6">
      <c r="A252">
        <v>247</v>
      </c>
      <c r="B252">
        <v>383.15</v>
      </c>
      <c r="C252">
        <v>6.4286119894208765E-2</v>
      </c>
      <c r="D252">
        <v>20.035499382125678</v>
      </c>
      <c r="E252" s="6" t="s">
        <v>13</v>
      </c>
      <c r="F252" s="6" t="s">
        <v>13</v>
      </c>
    </row>
    <row r="253" spans="1:6">
      <c r="A253">
        <v>248</v>
      </c>
      <c r="B253">
        <v>384.15</v>
      </c>
      <c r="C253">
        <v>6.4035996205265927E-2</v>
      </c>
      <c r="D253">
        <v>20.167826886327916</v>
      </c>
      <c r="E253" s="6" t="s">
        <v>13</v>
      </c>
      <c r="F253" s="6" t="s">
        <v>13</v>
      </c>
    </row>
    <row r="254" spans="1:6">
      <c r="A254">
        <v>249</v>
      </c>
      <c r="B254">
        <v>385.15</v>
      </c>
      <c r="C254">
        <v>6.3793694341833435E-2</v>
      </c>
      <c r="D254">
        <v>20.299280944106798</v>
      </c>
      <c r="E254" s="6" t="s">
        <v>13</v>
      </c>
      <c r="F254" s="6" t="s">
        <v>13</v>
      </c>
    </row>
    <row r="255" spans="1:6">
      <c r="A255">
        <v>250</v>
      </c>
      <c r="B255">
        <v>386.15</v>
      </c>
      <c r="C255">
        <v>6.355930849392516E-2</v>
      </c>
      <c r="D255">
        <v>20.429843366550131</v>
      </c>
      <c r="E255" s="6" t="s">
        <v>13</v>
      </c>
      <c r="F255" s="6" t="s">
        <v>13</v>
      </c>
    </row>
    <row r="256" spans="1:6">
      <c r="A256">
        <v>251</v>
      </c>
      <c r="B256">
        <v>387.15</v>
      </c>
      <c r="C256">
        <v>6.3332932851555016E-2</v>
      </c>
      <c r="D256">
        <v>20.559495964745722</v>
      </c>
      <c r="E256" s="6" t="s">
        <v>13</v>
      </c>
      <c r="F256" s="6" t="s">
        <v>13</v>
      </c>
    </row>
    <row r="257" spans="1:6">
      <c r="A257">
        <v>252</v>
      </c>
      <c r="B257">
        <v>388.15</v>
      </c>
      <c r="C257">
        <v>6.311466160473686E-2</v>
      </c>
      <c r="D257">
        <v>20.688220549781363</v>
      </c>
      <c r="E257" s="6" t="s">
        <v>13</v>
      </c>
      <c r="F257" s="6" t="s">
        <v>13</v>
      </c>
    </row>
    <row r="258" spans="1:6">
      <c r="A258">
        <v>253</v>
      </c>
      <c r="B258">
        <v>389.15</v>
      </c>
      <c r="C258">
        <v>6.2904588943484607E-2</v>
      </c>
      <c r="D258">
        <v>20.815998932744861</v>
      </c>
      <c r="E258" s="6" t="s">
        <v>13</v>
      </c>
      <c r="F258" s="6" t="s">
        <v>13</v>
      </c>
    </row>
    <row r="259" spans="1:6">
      <c r="A259">
        <v>254</v>
      </c>
      <c r="B259">
        <v>390.15</v>
      </c>
      <c r="C259">
        <v>6.2702809057812142E-2</v>
      </c>
      <c r="D259">
        <v>20.942812924724027</v>
      </c>
      <c r="E259" s="6" t="s">
        <v>13</v>
      </c>
      <c r="F259" s="6" t="s">
        <v>13</v>
      </c>
    </row>
    <row r="260" spans="1:6">
      <c r="A260">
        <v>255</v>
      </c>
      <c r="B260">
        <v>391.15</v>
      </c>
      <c r="C260">
        <v>6.2509416137733337E-2</v>
      </c>
      <c r="D260">
        <v>21.068644336806663</v>
      </c>
      <c r="E260" s="6" t="s">
        <v>13</v>
      </c>
      <c r="F260" s="6" t="s">
        <v>13</v>
      </c>
    </row>
    <row r="261" spans="1:6">
      <c r="A261">
        <v>256</v>
      </c>
      <c r="B261">
        <v>392.15</v>
      </c>
      <c r="C261">
        <v>6.2324504373262091E-2</v>
      </c>
      <c r="D261">
        <v>21.193474980080566</v>
      </c>
      <c r="E261" s="6" t="s">
        <v>13</v>
      </c>
      <c r="F261" s="6" t="s">
        <v>13</v>
      </c>
    </row>
    <row r="262" spans="1:6">
      <c r="A262">
        <v>257</v>
      </c>
      <c r="B262">
        <v>393.15</v>
      </c>
      <c r="C262">
        <v>6.2148167954412276E-2</v>
      </c>
      <c r="D262">
        <v>21.317286665633549</v>
      </c>
      <c r="E262" s="6" t="s">
        <v>13</v>
      </c>
      <c r="F262" s="6" t="s">
        <v>13</v>
      </c>
    </row>
    <row r="263" spans="1:6">
      <c r="A263">
        <v>258</v>
      </c>
      <c r="B263">
        <v>394.15</v>
      </c>
      <c r="C263">
        <v>6.1980501071197798E-2</v>
      </c>
      <c r="D263">
        <v>21.440061204553412</v>
      </c>
      <c r="E263" s="6" t="s">
        <v>13</v>
      </c>
      <c r="F263" s="6" t="s">
        <v>13</v>
      </c>
    </row>
    <row r="264" spans="1:6">
      <c r="A264">
        <v>259</v>
      </c>
      <c r="B264">
        <v>395.15</v>
      </c>
      <c r="C264">
        <v>6.1821597913632523E-2</v>
      </c>
      <c r="D264">
        <v>21.561780407927962</v>
      </c>
      <c r="E264" s="6" t="s">
        <v>13</v>
      </c>
      <c r="F264" s="6" t="s">
        <v>13</v>
      </c>
    </row>
    <row r="265" spans="1:6">
      <c r="A265">
        <v>260</v>
      </c>
      <c r="B265">
        <v>396.15</v>
      </c>
      <c r="C265">
        <v>6.1671552671730356E-2</v>
      </c>
      <c r="D265">
        <v>21.682426086844991</v>
      </c>
      <c r="E265" s="6" t="s">
        <v>13</v>
      </c>
      <c r="F265" s="6" t="s">
        <v>13</v>
      </c>
    </row>
    <row r="266" spans="1:6">
      <c r="A266">
        <v>261</v>
      </c>
      <c r="B266">
        <v>397.15</v>
      </c>
      <c r="C266">
        <v>6.1530459535505164E-2</v>
      </c>
      <c r="D266">
        <v>21.80198005239232</v>
      </c>
      <c r="E266" s="6" t="s">
        <v>13</v>
      </c>
      <c r="F266" s="6" t="s">
        <v>13</v>
      </c>
    </row>
    <row r="267" spans="1:6">
      <c r="A267">
        <v>262</v>
      </c>
      <c r="B267">
        <v>398.15</v>
      </c>
      <c r="C267">
        <v>6.1398412694970865E-2</v>
      </c>
      <c r="D267">
        <v>21.920424115657745</v>
      </c>
      <c r="E267" s="6" t="s">
        <v>13</v>
      </c>
      <c r="F267" s="6" t="s">
        <v>13</v>
      </c>
    </row>
    <row r="268" spans="1:6">
      <c r="A268">
        <v>263</v>
      </c>
      <c r="B268">
        <v>399.15</v>
      </c>
      <c r="C268">
        <v>6.1275506340141311E-2</v>
      </c>
      <c r="D268">
        <v>22.037740087729066</v>
      </c>
      <c r="E268" s="6" t="s">
        <v>13</v>
      </c>
      <c r="F268" s="6" t="s">
        <v>13</v>
      </c>
    </row>
    <row r="269" spans="1:6">
      <c r="A269">
        <v>264</v>
      </c>
      <c r="B269">
        <v>400.15</v>
      </c>
      <c r="C269">
        <v>6.1161834661030423E-2</v>
      </c>
      <c r="D269">
        <v>22.153909779694096</v>
      </c>
      <c r="E269" s="6" t="s">
        <v>13</v>
      </c>
      <c r="F269" s="6" t="s">
        <v>13</v>
      </c>
    </row>
    <row r="270" spans="1:6">
      <c r="A270">
        <v>265</v>
      </c>
      <c r="B270">
        <v>401.15</v>
      </c>
      <c r="C270">
        <v>6.1057491847652051E-2</v>
      </c>
      <c r="D270">
        <v>22.268915002640632</v>
      </c>
      <c r="E270" s="6" t="s">
        <v>13</v>
      </c>
      <c r="F270" s="6" t="s">
        <v>13</v>
      </c>
    </row>
    <row r="271" spans="1:6">
      <c r="A271">
        <v>266</v>
      </c>
      <c r="B271">
        <v>265.14999999999998</v>
      </c>
      <c r="C271">
        <v>0.20617596602717553</v>
      </c>
      <c r="D271">
        <v>4.5141106371228217</v>
      </c>
      <c r="E271" s="6" t="s">
        <v>13</v>
      </c>
      <c r="F271" s="6" t="s">
        <v>13</v>
      </c>
    </row>
    <row r="272" spans="1:6">
      <c r="A272">
        <v>267</v>
      </c>
      <c r="B272">
        <v>266.14999999999998</v>
      </c>
      <c r="C272">
        <v>0.20549916295603007</v>
      </c>
      <c r="D272">
        <v>4.6832062718729475</v>
      </c>
      <c r="E272" s="6" t="s">
        <v>13</v>
      </c>
      <c r="F272" s="6" t="s">
        <v>13</v>
      </c>
    </row>
    <row r="273" spans="1:6">
      <c r="A273">
        <v>268</v>
      </c>
      <c r="B273">
        <v>267.14999999999998</v>
      </c>
      <c r="C273">
        <v>0.20481194125330179</v>
      </c>
      <c r="D273">
        <v>4.8549548155306734</v>
      </c>
      <c r="E273" s="6" t="s">
        <v>13</v>
      </c>
      <c r="F273" s="6" t="s">
        <v>13</v>
      </c>
    </row>
    <row r="274" spans="1:6">
      <c r="A274">
        <v>269</v>
      </c>
      <c r="B274">
        <v>268.14999999999998</v>
      </c>
      <c r="C274">
        <v>0.20411450414386337</v>
      </c>
      <c r="D274">
        <v>5.0293218626157357</v>
      </c>
      <c r="E274" s="6" t="s">
        <v>13</v>
      </c>
      <c r="F274" s="6" t="s">
        <v>13</v>
      </c>
    </row>
    <row r="275" spans="1:6">
      <c r="A275">
        <v>270</v>
      </c>
      <c r="B275">
        <v>269.14999999999998</v>
      </c>
      <c r="C275">
        <v>0.20340705485258767</v>
      </c>
      <c r="D275">
        <v>5.2062730076478685</v>
      </c>
      <c r="E275" s="6" t="s">
        <v>13</v>
      </c>
      <c r="F275" s="6" t="s">
        <v>13</v>
      </c>
    </row>
    <row r="276" spans="1:6">
      <c r="A276">
        <v>271</v>
      </c>
      <c r="B276">
        <v>270.14999999999998</v>
      </c>
      <c r="C276">
        <v>0.20268979660434738</v>
      </c>
      <c r="D276">
        <v>5.3857738451468089</v>
      </c>
      <c r="E276" s="6" t="s">
        <v>13</v>
      </c>
      <c r="F276" s="6" t="s">
        <v>13</v>
      </c>
    </row>
    <row r="277" spans="1:6">
      <c r="A277">
        <v>272</v>
      </c>
      <c r="B277">
        <v>271.14999999999998</v>
      </c>
      <c r="C277">
        <v>0.20196293262401518</v>
      </c>
      <c r="D277">
        <v>5.5677899696322912</v>
      </c>
      <c r="E277" s="6" t="s">
        <v>13</v>
      </c>
      <c r="F277" s="6" t="s">
        <v>13</v>
      </c>
    </row>
    <row r="278" spans="1:6">
      <c r="A278">
        <v>273</v>
      </c>
      <c r="B278">
        <v>272.14999999999998</v>
      </c>
      <c r="C278">
        <v>0.20122666613646387</v>
      </c>
      <c r="D278">
        <v>5.7522869756240533</v>
      </c>
      <c r="E278" s="6" t="s">
        <v>13</v>
      </c>
      <c r="F278" s="6" t="s">
        <v>13</v>
      </c>
    </row>
    <row r="279" spans="1:6">
      <c r="A279">
        <v>274</v>
      </c>
      <c r="B279">
        <v>273.14999999999998</v>
      </c>
      <c r="C279">
        <v>0.20048120036656619</v>
      </c>
      <c r="D279">
        <v>5.9392304576418287</v>
      </c>
      <c r="E279" s="6" t="s">
        <v>13</v>
      </c>
      <c r="F279" s="6" t="s">
        <v>13</v>
      </c>
    </row>
    <row r="280" spans="1:6">
      <c r="A280">
        <v>275</v>
      </c>
      <c r="B280">
        <v>274.14999999999998</v>
      </c>
      <c r="C280">
        <v>0.1997267385391949</v>
      </c>
      <c r="D280">
        <v>6.1285860102053542</v>
      </c>
      <c r="E280" s="6" t="s">
        <v>13</v>
      </c>
      <c r="F280" s="6" t="s">
        <v>13</v>
      </c>
    </row>
    <row r="281" spans="1:6">
      <c r="A281">
        <v>276</v>
      </c>
      <c r="B281">
        <v>275.14999999999998</v>
      </c>
      <c r="C281">
        <v>0.19896348387922266</v>
      </c>
      <c r="D281">
        <v>6.3203192278343634</v>
      </c>
      <c r="E281" s="6" t="s">
        <v>13</v>
      </c>
      <c r="F281" s="6" t="s">
        <v>13</v>
      </c>
    </row>
    <row r="282" spans="1:6">
      <c r="A282">
        <v>277</v>
      </c>
      <c r="B282">
        <v>276.14999999999998</v>
      </c>
      <c r="C282">
        <v>0.19819163961152231</v>
      </c>
      <c r="D282">
        <v>6.5143957050485932</v>
      </c>
      <c r="E282" s="6" t="s">
        <v>13</v>
      </c>
      <c r="F282" s="6" t="s">
        <v>13</v>
      </c>
    </row>
    <row r="283" spans="1:6">
      <c r="A283">
        <v>278</v>
      </c>
      <c r="B283">
        <v>277.14999999999998</v>
      </c>
      <c r="C283">
        <v>0.19741140896096657</v>
      </c>
      <c r="D283">
        <v>6.7107810363677798</v>
      </c>
      <c r="E283" s="6" t="s">
        <v>13</v>
      </c>
      <c r="F283" s="6" t="s">
        <v>13</v>
      </c>
    </row>
    <row r="284" spans="1:6">
      <c r="A284">
        <v>279</v>
      </c>
      <c r="B284">
        <v>278.14999999999998</v>
      </c>
      <c r="C284">
        <v>0.19662299515242812</v>
      </c>
      <c r="D284">
        <v>6.9094408163116592</v>
      </c>
      <c r="E284" s="6" t="s">
        <v>13</v>
      </c>
      <c r="F284" s="6" t="s">
        <v>13</v>
      </c>
    </row>
    <row r="285" spans="1:6">
      <c r="A285">
        <v>280</v>
      </c>
      <c r="B285">
        <v>279.14999999999998</v>
      </c>
      <c r="C285">
        <v>0.19582660141077976</v>
      </c>
      <c r="D285">
        <v>7.1103406393999649</v>
      </c>
      <c r="E285" s="6" t="s">
        <v>13</v>
      </c>
      <c r="F285" s="6" t="s">
        <v>13</v>
      </c>
    </row>
    <row r="286" spans="1:6">
      <c r="A286">
        <v>281</v>
      </c>
      <c r="B286">
        <v>280.14999999999998</v>
      </c>
      <c r="C286">
        <v>0.19502243096089419</v>
      </c>
      <c r="D286">
        <v>7.3134461001524347</v>
      </c>
      <c r="E286" s="6" t="s">
        <v>13</v>
      </c>
      <c r="F286" s="6" t="s">
        <v>13</v>
      </c>
    </row>
    <row r="287" spans="1:6">
      <c r="A287">
        <v>282</v>
      </c>
      <c r="B287">
        <v>281.14999999999998</v>
      </c>
      <c r="C287">
        <v>0.19421068702764421</v>
      </c>
      <c r="D287">
        <v>7.518722793088803</v>
      </c>
      <c r="E287" s="6" t="s">
        <v>13</v>
      </c>
      <c r="F287" s="6" t="s">
        <v>13</v>
      </c>
    </row>
    <row r="288" spans="1:6">
      <c r="A288">
        <v>283</v>
      </c>
      <c r="B288">
        <v>282.14999999999998</v>
      </c>
      <c r="C288">
        <v>0.1933915728359025</v>
      </c>
      <c r="D288">
        <v>7.7261363127288059</v>
      </c>
      <c r="E288" s="6" t="s">
        <v>13</v>
      </c>
      <c r="F288" s="6" t="s">
        <v>13</v>
      </c>
    </row>
    <row r="289" spans="1:6">
      <c r="A289">
        <v>284</v>
      </c>
      <c r="B289">
        <v>283.14999999999998</v>
      </c>
      <c r="C289">
        <v>0.19256529161054187</v>
      </c>
      <c r="D289">
        <v>7.9356522535921785</v>
      </c>
      <c r="E289" s="6" t="s">
        <v>13</v>
      </c>
      <c r="F289" s="6" t="s">
        <v>13</v>
      </c>
    </row>
    <row r="290" spans="1:6">
      <c r="A290">
        <v>285</v>
      </c>
      <c r="B290">
        <v>284.14999999999998</v>
      </c>
      <c r="C290">
        <v>0.191732046576435</v>
      </c>
      <c r="D290">
        <v>8.147236210198658</v>
      </c>
      <c r="E290" s="6" t="s">
        <v>13</v>
      </c>
      <c r="F290" s="6" t="s">
        <v>13</v>
      </c>
    </row>
    <row r="291" spans="1:6">
      <c r="A291">
        <v>286</v>
      </c>
      <c r="B291">
        <v>285.14999999999998</v>
      </c>
      <c r="C291">
        <v>0.19089204095845463</v>
      </c>
      <c r="D291">
        <v>8.3608537770679749</v>
      </c>
      <c r="E291" s="6" t="s">
        <v>13</v>
      </c>
      <c r="F291" s="6" t="s">
        <v>13</v>
      </c>
    </row>
    <row r="292" spans="1:6">
      <c r="A292">
        <v>287</v>
      </c>
      <c r="B292">
        <v>286.14999999999998</v>
      </c>
      <c r="C292">
        <v>0.19004547798147356</v>
      </c>
      <c r="D292">
        <v>8.5764705487198718</v>
      </c>
      <c r="E292" s="6" t="s">
        <v>13</v>
      </c>
      <c r="F292" s="6" t="s">
        <v>13</v>
      </c>
    </row>
    <row r="293" spans="1:6">
      <c r="A293">
        <v>288</v>
      </c>
      <c r="B293">
        <v>287.14999999999998</v>
      </c>
      <c r="C293">
        <v>0.18919256087036448</v>
      </c>
      <c r="D293">
        <v>8.7940521196740828</v>
      </c>
      <c r="E293" s="6" t="s">
        <v>13</v>
      </c>
      <c r="F293" s="6" t="s">
        <v>13</v>
      </c>
    </row>
    <row r="294" spans="1:6">
      <c r="A294">
        <v>289</v>
      </c>
      <c r="B294">
        <v>288.14999999999998</v>
      </c>
      <c r="C294">
        <v>0.18833349285000017</v>
      </c>
      <c r="D294">
        <v>9.0135640844503389</v>
      </c>
      <c r="E294" s="6" t="s">
        <v>13</v>
      </c>
      <c r="F294" s="6" t="s">
        <v>13</v>
      </c>
    </row>
    <row r="295" spans="1:6">
      <c r="A295">
        <v>290</v>
      </c>
      <c r="B295">
        <v>289.14999999999998</v>
      </c>
      <c r="C295">
        <v>0.1874684771452533</v>
      </c>
      <c r="D295">
        <v>9.2349720375683795</v>
      </c>
      <c r="E295" s="6" t="s">
        <v>13</v>
      </c>
      <c r="F295" s="6" t="s">
        <v>13</v>
      </c>
    </row>
    <row r="296" spans="1:6">
      <c r="A296">
        <v>291</v>
      </c>
      <c r="B296">
        <v>290.14999999999998</v>
      </c>
      <c r="C296">
        <v>0.18659771698099673</v>
      </c>
      <c r="D296">
        <v>9.458241573547939</v>
      </c>
      <c r="E296" s="6" t="s">
        <v>13</v>
      </c>
      <c r="F296" s="6" t="s">
        <v>13</v>
      </c>
    </row>
    <row r="297" spans="1:6">
      <c r="A297">
        <v>292</v>
      </c>
      <c r="B297">
        <v>291.14999999999998</v>
      </c>
      <c r="C297">
        <v>0.18572141558210312</v>
      </c>
      <c r="D297">
        <v>9.6833382869087536</v>
      </c>
      <c r="E297" s="6" t="s">
        <v>13</v>
      </c>
      <c r="F297" s="6" t="s">
        <v>13</v>
      </c>
    </row>
    <row r="298" spans="1:6">
      <c r="A298">
        <v>293</v>
      </c>
      <c r="B298">
        <v>292.14999999999998</v>
      </c>
      <c r="C298">
        <v>0.18483977617344516</v>
      </c>
      <c r="D298">
        <v>9.9102277721705594</v>
      </c>
      <c r="E298" s="6" t="s">
        <v>13</v>
      </c>
      <c r="F298" s="6" t="s">
        <v>13</v>
      </c>
    </row>
    <row r="299" spans="1:6">
      <c r="A299">
        <v>294</v>
      </c>
      <c r="B299">
        <v>293.14999999999998</v>
      </c>
      <c r="C299">
        <v>0.18395300197989572</v>
      </c>
      <c r="D299">
        <v>10.138875623853092</v>
      </c>
      <c r="E299" s="6" t="s">
        <v>13</v>
      </c>
      <c r="F299" s="6" t="s">
        <v>13</v>
      </c>
    </row>
    <row r="300" spans="1:6">
      <c r="A300">
        <v>295</v>
      </c>
      <c r="B300">
        <v>294.14999999999998</v>
      </c>
      <c r="C300">
        <v>0.18306129622632744</v>
      </c>
      <c r="D300">
        <v>10.369247436476087</v>
      </c>
      <c r="E300" s="6" t="s">
        <v>13</v>
      </c>
      <c r="F300" s="6" t="s">
        <v>13</v>
      </c>
    </row>
    <row r="301" spans="1:6">
      <c r="A301">
        <v>296</v>
      </c>
      <c r="B301">
        <v>295.14999999999998</v>
      </c>
      <c r="C301">
        <v>0.18216486213761315</v>
      </c>
      <c r="D301">
        <v>10.601308804559276</v>
      </c>
      <c r="E301" s="6" t="s">
        <v>13</v>
      </c>
      <c r="F301" s="6" t="s">
        <v>13</v>
      </c>
    </row>
    <row r="302" spans="1:6">
      <c r="A302">
        <v>297</v>
      </c>
      <c r="B302">
        <v>296.14999999999998</v>
      </c>
      <c r="C302">
        <v>0.18126390293862549</v>
      </c>
      <c r="D302">
        <v>10.8350253226224</v>
      </c>
      <c r="E302" s="6" t="s">
        <v>13</v>
      </c>
      <c r="F302" s="6" t="s">
        <v>13</v>
      </c>
    </row>
    <row r="303" spans="1:6">
      <c r="A303">
        <v>298</v>
      </c>
      <c r="B303">
        <v>297.14999999999998</v>
      </c>
      <c r="C303">
        <v>0.18035862185423726</v>
      </c>
      <c r="D303">
        <v>11.070362585185194</v>
      </c>
      <c r="E303" s="6" t="s">
        <v>13</v>
      </c>
      <c r="F303" s="6" t="s">
        <v>13</v>
      </c>
    </row>
    <row r="304" spans="1:6">
      <c r="A304">
        <v>299</v>
      </c>
      <c r="B304">
        <v>298.14999999999998</v>
      </c>
      <c r="C304">
        <v>0.17944922210932121</v>
      </c>
      <c r="D304">
        <v>11.30728618676739</v>
      </c>
      <c r="E304" s="6" t="s">
        <v>13</v>
      </c>
      <c r="F304" s="6" t="s">
        <v>13</v>
      </c>
    </row>
    <row r="305" spans="1:6">
      <c r="A305">
        <v>300</v>
      </c>
      <c r="B305">
        <v>299.14999999999998</v>
      </c>
      <c r="C305">
        <v>0.17853590692875007</v>
      </c>
      <c r="D305">
        <v>11.545761721888729</v>
      </c>
      <c r="E305" s="6" t="s">
        <v>13</v>
      </c>
      <c r="F305" s="6" t="s">
        <v>13</v>
      </c>
    </row>
    <row r="306" spans="1:6">
      <c r="A306">
        <v>301</v>
      </c>
      <c r="B306">
        <v>300.14999999999998</v>
      </c>
      <c r="C306">
        <v>0.17761887953739658</v>
      </c>
      <c r="D306">
        <v>11.78575478506894</v>
      </c>
      <c r="E306" s="6" t="s">
        <v>13</v>
      </c>
      <c r="F306" s="6" t="s">
        <v>13</v>
      </c>
    </row>
    <row r="307" spans="1:6">
      <c r="A307">
        <v>302</v>
      </c>
      <c r="B307">
        <v>301.14999999999998</v>
      </c>
      <c r="C307">
        <v>0.17669834316013347</v>
      </c>
      <c r="D307">
        <v>12.027230970827762</v>
      </c>
      <c r="E307" s="6" t="s">
        <v>13</v>
      </c>
      <c r="F307" s="6" t="s">
        <v>13</v>
      </c>
    </row>
    <row r="308" spans="1:6">
      <c r="A308">
        <v>303</v>
      </c>
      <c r="B308">
        <v>302.14999999999998</v>
      </c>
      <c r="C308">
        <v>0.17577450102183351</v>
      </c>
      <c r="D308">
        <v>12.270155873684935</v>
      </c>
      <c r="E308" s="6" t="s">
        <v>13</v>
      </c>
      <c r="F308" s="6" t="s">
        <v>13</v>
      </c>
    </row>
    <row r="309" spans="1:6">
      <c r="A309">
        <v>304</v>
      </c>
      <c r="B309">
        <v>303.14999999999998</v>
      </c>
      <c r="C309">
        <v>0.1748475563473694</v>
      </c>
      <c r="D309">
        <v>12.514495088160185</v>
      </c>
      <c r="E309" s="6" t="s">
        <v>13</v>
      </c>
      <c r="F309" s="6" t="s">
        <v>13</v>
      </c>
    </row>
    <row r="310" spans="1:6">
      <c r="A310">
        <v>305</v>
      </c>
      <c r="B310">
        <v>304.14999999999998</v>
      </c>
      <c r="C310">
        <v>0.17391771236161391</v>
      </c>
      <c r="D310">
        <v>12.760214208773258</v>
      </c>
      <c r="E310" s="6" t="s">
        <v>13</v>
      </c>
      <c r="F310" s="6" t="s">
        <v>13</v>
      </c>
    </row>
    <row r="311" spans="1:6">
      <c r="A311">
        <v>306</v>
      </c>
      <c r="B311">
        <v>305.14999999999998</v>
      </c>
      <c r="C311">
        <v>0.17298517228943977</v>
      </c>
      <c r="D311">
        <v>13.007278830043882</v>
      </c>
      <c r="E311" s="6" t="s">
        <v>13</v>
      </c>
      <c r="F311" s="6" t="s">
        <v>13</v>
      </c>
    </row>
    <row r="312" spans="1:6">
      <c r="A312">
        <v>307</v>
      </c>
      <c r="B312">
        <v>306.14999999999998</v>
      </c>
      <c r="C312">
        <v>0.17205013935571972</v>
      </c>
      <c r="D312">
        <v>13.255654546491794</v>
      </c>
      <c r="E312" s="6" t="s">
        <v>13</v>
      </c>
      <c r="F312" s="6" t="s">
        <v>13</v>
      </c>
    </row>
    <row r="313" spans="1:6">
      <c r="A313">
        <v>308</v>
      </c>
      <c r="B313">
        <v>307.14999999999998</v>
      </c>
      <c r="C313">
        <v>0.17111281678532655</v>
      </c>
      <c r="D313">
        <v>13.505306952636731</v>
      </c>
      <c r="E313" s="6" t="s">
        <v>13</v>
      </c>
      <c r="F313" s="6" t="s">
        <v>13</v>
      </c>
    </row>
    <row r="314" spans="1:6">
      <c r="A314">
        <v>309</v>
      </c>
      <c r="B314">
        <v>308.14999999999998</v>
      </c>
      <c r="C314">
        <v>0.17017340780313295</v>
      </c>
      <c r="D314">
        <v>13.75620164299843</v>
      </c>
      <c r="E314" s="6" t="s">
        <v>13</v>
      </c>
      <c r="F314" s="6" t="s">
        <v>13</v>
      </c>
    </row>
    <row r="315" spans="1:6">
      <c r="A315">
        <v>310</v>
      </c>
      <c r="B315">
        <v>309.14999999999998</v>
      </c>
      <c r="C315">
        <v>0.16923211563401164</v>
      </c>
      <c r="D315">
        <v>14.008304212096627</v>
      </c>
      <c r="E315" s="6" t="s">
        <v>13</v>
      </c>
      <c r="F315" s="6" t="s">
        <v>13</v>
      </c>
    </row>
    <row r="316" spans="1:6">
      <c r="A316">
        <v>311</v>
      </c>
      <c r="B316">
        <v>310.14999999999998</v>
      </c>
      <c r="C316">
        <v>0.16828914350283539</v>
      </c>
      <c r="D316">
        <v>14.261580254451051</v>
      </c>
      <c r="E316" s="6" t="s">
        <v>13</v>
      </c>
      <c r="F316" s="6" t="s">
        <v>13</v>
      </c>
    </row>
    <row r="317" spans="1:6">
      <c r="A317">
        <v>312</v>
      </c>
      <c r="B317">
        <v>311.14999999999998</v>
      </c>
      <c r="C317">
        <v>0.16734469463447699</v>
      </c>
      <c r="D317">
        <v>14.515995364581444</v>
      </c>
      <c r="E317" s="6" t="s">
        <v>13</v>
      </c>
      <c r="F317" s="6" t="s">
        <v>13</v>
      </c>
    </row>
    <row r="318" spans="1:6">
      <c r="A318">
        <v>313</v>
      </c>
      <c r="B318">
        <v>312.14999999999998</v>
      </c>
      <c r="C318">
        <v>0.16639897225380915</v>
      </c>
      <c r="D318">
        <v>14.771515137007542</v>
      </c>
      <c r="E318" s="6" t="s">
        <v>13</v>
      </c>
      <c r="F318" s="6" t="s">
        <v>13</v>
      </c>
    </row>
    <row r="319" spans="1:6">
      <c r="A319">
        <v>314</v>
      </c>
      <c r="B319">
        <v>313.14999999999998</v>
      </c>
      <c r="C319">
        <v>0.16545217958570452</v>
      </c>
      <c r="D319">
        <v>15.028105166249075</v>
      </c>
      <c r="E319" s="6" t="s">
        <v>13</v>
      </c>
      <c r="F319" s="6" t="s">
        <v>13</v>
      </c>
    </row>
    <row r="320" spans="1:6">
      <c r="A320">
        <v>315</v>
      </c>
      <c r="B320">
        <v>314.14999999999998</v>
      </c>
      <c r="C320">
        <v>0.164504519855036</v>
      </c>
      <c r="D320">
        <v>15.285731046825786</v>
      </c>
      <c r="E320" s="6" t="s">
        <v>13</v>
      </c>
      <c r="F320" s="6" t="s">
        <v>13</v>
      </c>
    </row>
    <row r="321" spans="1:6">
      <c r="A321">
        <v>316</v>
      </c>
      <c r="B321">
        <v>315.14999999999998</v>
      </c>
      <c r="C321">
        <v>0.1635561962866762</v>
      </c>
      <c r="D321">
        <v>15.544358373257404</v>
      </c>
      <c r="E321" s="6" t="s">
        <v>13</v>
      </c>
      <c r="F321" s="6" t="s">
        <v>13</v>
      </c>
    </row>
    <row r="322" spans="1:6">
      <c r="A322">
        <v>317</v>
      </c>
      <c r="B322">
        <v>316.14999999999998</v>
      </c>
      <c r="C322">
        <v>0.16260741210549795</v>
      </c>
      <c r="D322">
        <v>15.803952740063668</v>
      </c>
      <c r="E322" s="6" t="s">
        <v>13</v>
      </c>
      <c r="F322" s="6" t="s">
        <v>13</v>
      </c>
    </row>
    <row r="323" spans="1:6">
      <c r="A323">
        <v>318</v>
      </c>
      <c r="B323">
        <v>317.14999999999998</v>
      </c>
      <c r="C323">
        <v>0.16165837053637394</v>
      </c>
      <c r="D323">
        <v>16.064479741764313</v>
      </c>
      <c r="E323" s="6" t="s">
        <v>13</v>
      </c>
      <c r="F323" s="6" t="s">
        <v>13</v>
      </c>
    </row>
    <row r="324" spans="1:6">
      <c r="A324">
        <v>319</v>
      </c>
      <c r="B324">
        <v>318.14999999999998</v>
      </c>
      <c r="C324">
        <v>0.16070927480417693</v>
      </c>
      <c r="D324">
        <v>16.325904972879073</v>
      </c>
      <c r="E324" s="6" t="s">
        <v>13</v>
      </c>
      <c r="F324" s="6" t="s">
        <v>13</v>
      </c>
    </row>
    <row r="325" spans="1:6">
      <c r="A325">
        <v>320</v>
      </c>
      <c r="B325">
        <v>319.14999999999998</v>
      </c>
      <c r="C325">
        <v>0.15976032813377969</v>
      </c>
      <c r="D325">
        <v>16.588194027927692</v>
      </c>
      <c r="E325" s="6" t="s">
        <v>13</v>
      </c>
      <c r="F325" s="6" t="s">
        <v>13</v>
      </c>
    </row>
    <row r="326" spans="1:6">
      <c r="A326">
        <v>321</v>
      </c>
      <c r="B326">
        <v>320.14999999999998</v>
      </c>
      <c r="C326">
        <v>0.15881173375005486</v>
      </c>
      <c r="D326">
        <v>16.851312501429891</v>
      </c>
      <c r="E326" s="6" t="s">
        <v>13</v>
      </c>
      <c r="F326" s="6" t="s">
        <v>13</v>
      </c>
    </row>
    <row r="327" spans="1:6">
      <c r="A327">
        <v>322</v>
      </c>
      <c r="B327">
        <v>321.14999999999998</v>
      </c>
      <c r="C327">
        <v>0.15786369487787533</v>
      </c>
      <c r="D327">
        <v>17.115225987905418</v>
      </c>
      <c r="E327" s="6" t="s">
        <v>13</v>
      </c>
      <c r="F327" s="6" t="s">
        <v>13</v>
      </c>
    </row>
    <row r="328" spans="1:6">
      <c r="A328">
        <v>323</v>
      </c>
      <c r="B328">
        <v>322.14999999999998</v>
      </c>
      <c r="C328">
        <v>0.15691641474211371</v>
      </c>
      <c r="D328">
        <v>17.379900081873998</v>
      </c>
      <c r="E328" s="6" t="s">
        <v>13</v>
      </c>
      <c r="F328" s="6" t="s">
        <v>13</v>
      </c>
    </row>
    <row r="329" spans="1:6">
      <c r="A329">
        <v>324</v>
      </c>
      <c r="B329">
        <v>323.14999999999998</v>
      </c>
      <c r="C329">
        <v>0.15597009656764285</v>
      </c>
      <c r="D329">
        <v>17.645300377855378</v>
      </c>
      <c r="E329" s="6" t="s">
        <v>13</v>
      </c>
      <c r="F329" s="6" t="s">
        <v>13</v>
      </c>
    </row>
    <row r="330" spans="1:6">
      <c r="A330">
        <v>325</v>
      </c>
      <c r="B330">
        <v>324.14999999999998</v>
      </c>
      <c r="C330">
        <v>0.15502494357933536</v>
      </c>
      <c r="D330">
        <v>17.911392470369286</v>
      </c>
      <c r="E330" s="6" t="s">
        <v>13</v>
      </c>
      <c r="F330" s="6" t="s">
        <v>13</v>
      </c>
    </row>
    <row r="331" spans="1:6">
      <c r="A331">
        <v>326</v>
      </c>
      <c r="B331">
        <v>325.14999999999998</v>
      </c>
      <c r="C331">
        <v>0.15408115900206412</v>
      </c>
      <c r="D331">
        <v>18.178141953935462</v>
      </c>
      <c r="E331" s="6" t="s">
        <v>13</v>
      </c>
      <c r="F331" s="6" t="s">
        <v>13</v>
      </c>
    </row>
    <row r="332" spans="1:6">
      <c r="A332">
        <v>327</v>
      </c>
      <c r="B332">
        <v>326.14999999999998</v>
      </c>
      <c r="C332">
        <v>0.1531389460607018</v>
      </c>
      <c r="D332">
        <v>18.445514423073643</v>
      </c>
      <c r="E332" s="6" t="s">
        <v>13</v>
      </c>
      <c r="F332" s="6" t="s">
        <v>13</v>
      </c>
    </row>
    <row r="333" spans="1:6">
      <c r="A333">
        <v>328</v>
      </c>
      <c r="B333">
        <v>327.14999999999998</v>
      </c>
      <c r="C333">
        <v>0.15219850798012113</v>
      </c>
      <c r="D333">
        <v>18.713475472303553</v>
      </c>
      <c r="E333" s="6" t="s">
        <v>13</v>
      </c>
      <c r="F333" s="6" t="s">
        <v>13</v>
      </c>
    </row>
    <row r="334" spans="1:6">
      <c r="A334">
        <v>329</v>
      </c>
      <c r="B334">
        <v>328.15</v>
      </c>
      <c r="C334">
        <v>0.15126004798519491</v>
      </c>
      <c r="D334">
        <v>18.981990696144941</v>
      </c>
      <c r="E334" s="6" t="s">
        <v>13</v>
      </c>
      <c r="F334" s="6" t="s">
        <v>13</v>
      </c>
    </row>
    <row r="335" spans="1:6">
      <c r="A335">
        <v>330</v>
      </c>
      <c r="B335">
        <v>329.15</v>
      </c>
      <c r="C335">
        <v>0.15032376930079583</v>
      </c>
      <c r="D335">
        <v>19.251025689117537</v>
      </c>
      <c r="E335" s="6" t="s">
        <v>13</v>
      </c>
      <c r="F335" s="6" t="s">
        <v>13</v>
      </c>
    </row>
    <row r="336" spans="1:6">
      <c r="A336">
        <v>331</v>
      </c>
      <c r="B336">
        <v>330.15</v>
      </c>
      <c r="C336">
        <v>0.14938987515179666</v>
      </c>
      <c r="D336">
        <v>19.520546045741074</v>
      </c>
      <c r="E336" s="6" t="s">
        <v>13</v>
      </c>
      <c r="F336" s="6" t="s">
        <v>13</v>
      </c>
    </row>
    <row r="337" spans="1:6">
      <c r="A337">
        <v>332</v>
      </c>
      <c r="B337">
        <v>331.15</v>
      </c>
      <c r="C337">
        <v>0.14845856876307009</v>
      </c>
      <c r="D337">
        <v>19.79051736053529</v>
      </c>
      <c r="E337" s="6" t="s">
        <v>13</v>
      </c>
      <c r="F337" s="6" t="s">
        <v>13</v>
      </c>
    </row>
    <row r="338" spans="1:6">
      <c r="A338">
        <v>333</v>
      </c>
      <c r="B338">
        <v>332.15</v>
      </c>
      <c r="C338">
        <v>0.14753005335948893</v>
      </c>
      <c r="D338">
        <v>20.060905228019923</v>
      </c>
      <c r="E338" s="6" t="s">
        <v>13</v>
      </c>
      <c r="F338" s="6" t="s">
        <v>13</v>
      </c>
    </row>
    <row r="339" spans="1:6">
      <c r="A339">
        <v>334</v>
      </c>
      <c r="B339">
        <v>333.15</v>
      </c>
      <c r="C339">
        <v>0.14660453216592589</v>
      </c>
      <c r="D339">
        <v>20.331675242714709</v>
      </c>
      <c r="E339" s="6" t="s">
        <v>13</v>
      </c>
      <c r="F339" s="6" t="s">
        <v>13</v>
      </c>
    </row>
    <row r="340" spans="1:6">
      <c r="A340">
        <v>335</v>
      </c>
      <c r="B340">
        <v>334.15</v>
      </c>
      <c r="C340">
        <v>0.14568220840725371</v>
      </c>
      <c r="D340">
        <v>20.602792999139382</v>
      </c>
      <c r="E340" s="6" t="s">
        <v>13</v>
      </c>
      <c r="F340" s="6" t="s">
        <v>13</v>
      </c>
    </row>
    <row r="341" spans="1:6">
      <c r="A341">
        <v>336</v>
      </c>
      <c r="B341">
        <v>335.15</v>
      </c>
      <c r="C341">
        <v>0.14476328530834512</v>
      </c>
      <c r="D341">
        <v>20.874224091813673</v>
      </c>
      <c r="E341" s="6" t="s">
        <v>13</v>
      </c>
      <c r="F341" s="6" t="s">
        <v>13</v>
      </c>
    </row>
    <row r="342" spans="1:6">
      <c r="A342">
        <v>337</v>
      </c>
      <c r="B342">
        <v>336.15</v>
      </c>
      <c r="C342">
        <v>0.14384796609407291</v>
      </c>
      <c r="D342">
        <v>21.145934115257326</v>
      </c>
      <c r="E342" s="6" t="s">
        <v>13</v>
      </c>
      <c r="F342" s="6" t="s">
        <v>13</v>
      </c>
    </row>
    <row r="343" spans="1:6">
      <c r="A343">
        <v>338</v>
      </c>
      <c r="B343">
        <v>337.15</v>
      </c>
      <c r="C343">
        <v>0.14293645398930979</v>
      </c>
      <c r="D343">
        <v>21.41788866399007</v>
      </c>
      <c r="E343" s="6" t="s">
        <v>13</v>
      </c>
      <c r="F343" s="6" t="s">
        <v>13</v>
      </c>
    </row>
    <row r="344" spans="1:6">
      <c r="A344">
        <v>339</v>
      </c>
      <c r="B344">
        <v>338.15</v>
      </c>
      <c r="C344">
        <v>0.14202895221892847</v>
      </c>
      <c r="D344">
        <v>21.69005333253164</v>
      </c>
      <c r="E344" s="6" t="s">
        <v>13</v>
      </c>
      <c r="F344" s="6" t="s">
        <v>13</v>
      </c>
    </row>
    <row r="345" spans="1:6">
      <c r="A345">
        <v>340</v>
      </c>
      <c r="B345">
        <v>339.15</v>
      </c>
      <c r="C345">
        <v>0.14112566400780174</v>
      </c>
      <c r="D345">
        <v>21.962393715401777</v>
      </c>
      <c r="E345" s="6" t="s">
        <v>13</v>
      </c>
      <c r="F345" s="6" t="s">
        <v>13</v>
      </c>
    </row>
    <row r="346" spans="1:6">
      <c r="A346">
        <v>341</v>
      </c>
      <c r="B346">
        <v>340.15</v>
      </c>
      <c r="C346">
        <v>0.14022679258080237</v>
      </c>
      <c r="D346">
        <v>22.234875407120214</v>
      </c>
      <c r="E346" s="6" t="s">
        <v>13</v>
      </c>
      <c r="F346" s="6" t="s">
        <v>13</v>
      </c>
    </row>
    <row r="347" spans="1:6">
      <c r="A347">
        <v>342</v>
      </c>
      <c r="B347">
        <v>341.15</v>
      </c>
      <c r="C347">
        <v>0.13933254116280294</v>
      </c>
      <c r="D347">
        <v>22.507464002206689</v>
      </c>
      <c r="E347" s="6" t="s">
        <v>13</v>
      </c>
      <c r="F347" s="6" t="s">
        <v>13</v>
      </c>
    </row>
    <row r="348" spans="1:6">
      <c r="A348">
        <v>343</v>
      </c>
      <c r="B348">
        <v>342.15</v>
      </c>
      <c r="C348">
        <v>0.13844311297867642</v>
      </c>
      <c r="D348">
        <v>22.780125095180935</v>
      </c>
      <c r="E348" s="6" t="s">
        <v>13</v>
      </c>
      <c r="F348" s="6" t="s">
        <v>13</v>
      </c>
    </row>
    <row r="349" spans="1:6">
      <c r="A349">
        <v>344</v>
      </c>
      <c r="B349">
        <v>343.15</v>
      </c>
      <c r="C349">
        <v>0.13755871125329538</v>
      </c>
      <c r="D349">
        <v>23.052824280562682</v>
      </c>
      <c r="E349" s="6" t="s">
        <v>13</v>
      </c>
      <c r="F349" s="6" t="s">
        <v>13</v>
      </c>
    </row>
    <row r="350" spans="1:6">
      <c r="A350">
        <v>345</v>
      </c>
      <c r="B350">
        <v>344.15</v>
      </c>
      <c r="C350">
        <v>0.13667953921153264</v>
      </c>
      <c r="D350">
        <v>23.325527152871683</v>
      </c>
      <c r="E350" s="6" t="s">
        <v>13</v>
      </c>
      <c r="F350" s="6" t="s">
        <v>13</v>
      </c>
    </row>
    <row r="351" spans="1:6">
      <c r="A351">
        <v>346</v>
      </c>
      <c r="B351">
        <v>345.15</v>
      </c>
      <c r="C351">
        <v>0.13580580007826093</v>
      </c>
      <c r="D351">
        <v>23.598199306627652</v>
      </c>
      <c r="E351" s="6" t="s">
        <v>13</v>
      </c>
      <c r="F351" s="6" t="s">
        <v>13</v>
      </c>
    </row>
    <row r="352" spans="1:6">
      <c r="A352">
        <v>347</v>
      </c>
      <c r="B352">
        <v>346.15</v>
      </c>
      <c r="C352">
        <v>0.13493769707835296</v>
      </c>
      <c r="D352">
        <v>23.870806336350341</v>
      </c>
      <c r="E352" s="6" t="s">
        <v>13</v>
      </c>
      <c r="F352" s="6" t="s">
        <v>13</v>
      </c>
    </row>
    <row r="353" spans="1:6">
      <c r="A353">
        <v>348</v>
      </c>
      <c r="B353">
        <v>347.15</v>
      </c>
      <c r="C353">
        <v>0.13407543343668149</v>
      </c>
      <c r="D353">
        <v>24.143313836559475</v>
      </c>
      <c r="E353" s="6" t="s">
        <v>13</v>
      </c>
      <c r="F353" s="6" t="s">
        <v>13</v>
      </c>
    </row>
    <row r="354" spans="1:6">
      <c r="A354">
        <v>349</v>
      </c>
      <c r="B354">
        <v>348.15</v>
      </c>
      <c r="C354">
        <v>0.13321921237811929</v>
      </c>
      <c r="D354">
        <v>24.415687401774793</v>
      </c>
      <c r="E354" s="6" t="s">
        <v>13</v>
      </c>
      <c r="F354" s="6" t="s">
        <v>13</v>
      </c>
    </row>
    <row r="355" spans="1:6">
      <c r="A355">
        <v>350</v>
      </c>
      <c r="B355">
        <v>349.15</v>
      </c>
      <c r="C355">
        <v>0.13236923712753909</v>
      </c>
      <c r="D355">
        <v>24.687892626516035</v>
      </c>
      <c r="E355" s="6" t="s">
        <v>13</v>
      </c>
      <c r="F355" s="6" t="s">
        <v>13</v>
      </c>
    </row>
    <row r="356" spans="1:6">
      <c r="A356">
        <v>351</v>
      </c>
      <c r="B356">
        <v>350.15</v>
      </c>
      <c r="C356">
        <v>0.13152571090981363</v>
      </c>
      <c r="D356">
        <v>24.959895105302934</v>
      </c>
      <c r="E356" s="6" t="s">
        <v>13</v>
      </c>
      <c r="F356" s="6" t="s">
        <v>13</v>
      </c>
    </row>
    <row r="357" spans="1:6">
      <c r="A357">
        <v>352</v>
      </c>
      <c r="B357">
        <v>351.15</v>
      </c>
      <c r="C357">
        <v>0.13068883694981562</v>
      </c>
      <c r="D357">
        <v>25.231660432655225</v>
      </c>
      <c r="E357" s="6" t="s">
        <v>13</v>
      </c>
      <c r="F357" s="6" t="s">
        <v>13</v>
      </c>
    </row>
    <row r="358" spans="1:6">
      <c r="A358">
        <v>353</v>
      </c>
      <c r="B358">
        <v>352.15</v>
      </c>
      <c r="C358">
        <v>0.12985881847241781</v>
      </c>
      <c r="D358">
        <v>25.503154203092638</v>
      </c>
      <c r="E358" s="6" t="s">
        <v>13</v>
      </c>
      <c r="F358" s="6" t="s">
        <v>13</v>
      </c>
    </row>
    <row r="359" spans="1:6">
      <c r="A359">
        <v>354</v>
      </c>
      <c r="B359">
        <v>353.15</v>
      </c>
      <c r="C359">
        <v>0.12903585870249296</v>
      </c>
      <c r="D359">
        <v>25.77434201113492</v>
      </c>
      <c r="E359" s="6" t="s">
        <v>13</v>
      </c>
      <c r="F359" s="6" t="s">
        <v>13</v>
      </c>
    </row>
    <row r="360" spans="1:6">
      <c r="A360">
        <v>355</v>
      </c>
      <c r="B360">
        <v>354.15</v>
      </c>
      <c r="C360">
        <v>0.12822016086491381</v>
      </c>
      <c r="D360">
        <v>26.045189451301802</v>
      </c>
      <c r="E360" s="6" t="s">
        <v>13</v>
      </c>
      <c r="F360" s="6" t="s">
        <v>13</v>
      </c>
    </row>
    <row r="361" spans="1:6">
      <c r="A361">
        <v>356</v>
      </c>
      <c r="B361">
        <v>355.15</v>
      </c>
      <c r="C361">
        <v>0.1274119281845531</v>
      </c>
      <c r="D361">
        <v>26.315662118113014</v>
      </c>
      <c r="E361" s="6" t="s">
        <v>13</v>
      </c>
      <c r="F361" s="6" t="s">
        <v>13</v>
      </c>
    </row>
    <row r="362" spans="1:6">
      <c r="A362">
        <v>357</v>
      </c>
      <c r="B362">
        <v>356.15</v>
      </c>
      <c r="C362">
        <v>0.12661136388628358</v>
      </c>
      <c r="D362">
        <v>26.585725606088296</v>
      </c>
      <c r="E362" s="6" t="s">
        <v>13</v>
      </c>
      <c r="F362" s="6" t="s">
        <v>13</v>
      </c>
    </row>
    <row r="363" spans="1:6">
      <c r="A363">
        <v>358</v>
      </c>
      <c r="B363">
        <v>357.15</v>
      </c>
      <c r="C363">
        <v>0.125818671194978</v>
      </c>
      <c r="D363">
        <v>26.855345509747391</v>
      </c>
      <c r="E363" s="6" t="s">
        <v>13</v>
      </c>
      <c r="F363" s="6" t="s">
        <v>13</v>
      </c>
    </row>
    <row r="364" spans="1:6">
      <c r="A364">
        <v>359</v>
      </c>
      <c r="B364">
        <v>358.15</v>
      </c>
      <c r="C364">
        <v>0.12503405333550907</v>
      </c>
      <c r="D364">
        <v>27.124487423610017</v>
      </c>
      <c r="E364" s="6" t="s">
        <v>13</v>
      </c>
      <c r="F364" s="6" t="s">
        <v>13</v>
      </c>
    </row>
    <row r="365" spans="1:6">
      <c r="A365">
        <v>360</v>
      </c>
      <c r="B365">
        <v>359.15</v>
      </c>
      <c r="C365">
        <v>0.12425771353274952</v>
      </c>
      <c r="D365">
        <v>27.393116942195924</v>
      </c>
      <c r="E365" s="6" t="s">
        <v>13</v>
      </c>
      <c r="F365" s="6" t="s">
        <v>13</v>
      </c>
    </row>
    <row r="366" spans="1:6">
      <c r="A366">
        <v>361</v>
      </c>
      <c r="B366">
        <v>360.15</v>
      </c>
      <c r="C366">
        <v>0.12348985501157214</v>
      </c>
      <c r="D366">
        <v>27.661199660024845</v>
      </c>
      <c r="E366" s="6" t="s">
        <v>13</v>
      </c>
      <c r="F366" s="6" t="s">
        <v>13</v>
      </c>
    </row>
    <row r="367" spans="1:6">
      <c r="A367">
        <v>362</v>
      </c>
      <c r="B367">
        <v>361.15</v>
      </c>
      <c r="C367">
        <v>0.12273068099684963</v>
      </c>
      <c r="D367">
        <v>27.92870117161651</v>
      </c>
      <c r="E367" s="6" t="s">
        <v>13</v>
      </c>
      <c r="F367" s="6" t="s">
        <v>13</v>
      </c>
    </row>
    <row r="368" spans="1:6">
      <c r="A368">
        <v>363</v>
      </c>
      <c r="B368">
        <v>362.15</v>
      </c>
      <c r="C368">
        <v>0.12198039471345476</v>
      </c>
      <c r="D368">
        <v>28.19558707149066</v>
      </c>
      <c r="E368" s="6" t="s">
        <v>13</v>
      </c>
      <c r="F368" s="6" t="s">
        <v>13</v>
      </c>
    </row>
    <row r="369" spans="1:6">
      <c r="A369">
        <v>364</v>
      </c>
      <c r="B369">
        <v>363.15</v>
      </c>
      <c r="C369">
        <v>0.12123919938626029</v>
      </c>
      <c r="D369">
        <v>28.46182295416703</v>
      </c>
      <c r="E369" s="6" t="s">
        <v>13</v>
      </c>
      <c r="F369" s="6" t="s">
        <v>13</v>
      </c>
    </row>
    <row r="370" spans="1:6">
      <c r="A370">
        <v>365</v>
      </c>
      <c r="B370">
        <v>364.15</v>
      </c>
      <c r="C370">
        <v>0.12050729824013891</v>
      </c>
      <c r="D370">
        <v>28.727374414165357</v>
      </c>
      <c r="E370" s="6" t="s">
        <v>13</v>
      </c>
      <c r="F370" s="6" t="s">
        <v>13</v>
      </c>
    </row>
    <row r="371" spans="1:6">
      <c r="A371">
        <v>366</v>
      </c>
      <c r="B371">
        <v>365.15</v>
      </c>
      <c r="C371">
        <v>0.11978489449996341</v>
      </c>
      <c r="D371">
        <v>28.99220704600538</v>
      </c>
      <c r="E371" s="6" t="s">
        <v>13</v>
      </c>
      <c r="F371" s="6" t="s">
        <v>13</v>
      </c>
    </row>
    <row r="372" spans="1:6">
      <c r="A372">
        <v>367</v>
      </c>
      <c r="B372">
        <v>366.15</v>
      </c>
      <c r="C372">
        <v>0.11907219139060646</v>
      </c>
      <c r="D372">
        <v>29.256286444206822</v>
      </c>
      <c r="E372" s="6" t="s">
        <v>13</v>
      </c>
      <c r="F372" s="6" t="s">
        <v>13</v>
      </c>
    </row>
    <row r="373" spans="1:6">
      <c r="A373">
        <v>368</v>
      </c>
      <c r="B373">
        <v>367.15</v>
      </c>
      <c r="C373">
        <v>0.11836939213694087</v>
      </c>
      <c r="D373">
        <v>29.519578203289427</v>
      </c>
      <c r="E373" s="6" t="s">
        <v>13</v>
      </c>
      <c r="F373" s="6" t="s">
        <v>13</v>
      </c>
    </row>
    <row r="374" spans="1:6">
      <c r="A374">
        <v>369</v>
      </c>
      <c r="B374">
        <v>368.15</v>
      </c>
      <c r="C374">
        <v>0.11767669996383935</v>
      </c>
      <c r="D374">
        <v>29.782047917772928</v>
      </c>
      <c r="E374" s="6" t="s">
        <v>13</v>
      </c>
      <c r="F374" s="6" t="s">
        <v>13</v>
      </c>
    </row>
    <row r="375" spans="1:6">
      <c r="A375">
        <v>370</v>
      </c>
      <c r="B375">
        <v>369.15</v>
      </c>
      <c r="C375">
        <v>0.11699431809617467</v>
      </c>
      <c r="D375">
        <v>30.043661182177058</v>
      </c>
      <c r="E375" s="6" t="s">
        <v>13</v>
      </c>
      <c r="F375" s="6" t="s">
        <v>13</v>
      </c>
    </row>
    <row r="376" spans="1:6">
      <c r="A376">
        <v>371</v>
      </c>
      <c r="B376">
        <v>370.15</v>
      </c>
      <c r="C376">
        <v>0.11632244975881956</v>
      </c>
      <c r="D376">
        <v>30.304383591021562</v>
      </c>
      <c r="E376" s="6" t="s">
        <v>13</v>
      </c>
      <c r="F376" s="6" t="s">
        <v>13</v>
      </c>
    </row>
    <row r="377" spans="1:6">
      <c r="A377">
        <v>372</v>
      </c>
      <c r="B377">
        <v>371.15</v>
      </c>
      <c r="C377">
        <v>0.11566129817664675</v>
      </c>
      <c r="D377">
        <v>30.56418073882617</v>
      </c>
      <c r="E377" s="6" t="s">
        <v>13</v>
      </c>
      <c r="F377" s="6" t="s">
        <v>13</v>
      </c>
    </row>
    <row r="378" spans="1:6">
      <c r="A378">
        <v>373</v>
      </c>
      <c r="B378">
        <v>372.15</v>
      </c>
      <c r="C378">
        <v>0.11501106657452898</v>
      </c>
      <c r="D378">
        <v>30.823018220110619</v>
      </c>
      <c r="E378" s="6" t="s">
        <v>13</v>
      </c>
      <c r="F378" s="6" t="s">
        <v>13</v>
      </c>
    </row>
    <row r="379" spans="1:6">
      <c r="A379">
        <v>374</v>
      </c>
      <c r="B379">
        <v>373.15</v>
      </c>
      <c r="C379">
        <v>0.114371958177339</v>
      </c>
      <c r="D379">
        <v>31.080861629394636</v>
      </c>
      <c r="E379" s="6" t="s">
        <v>13</v>
      </c>
      <c r="F379" s="6" t="s">
        <v>13</v>
      </c>
    </row>
    <row r="380" spans="1:6">
      <c r="A380">
        <v>375</v>
      </c>
      <c r="B380">
        <v>374.15</v>
      </c>
      <c r="C380">
        <v>0.11374417620994953</v>
      </c>
      <c r="D380">
        <v>31.337676561197977</v>
      </c>
      <c r="E380" s="6" t="s">
        <v>13</v>
      </c>
      <c r="F380" s="6" t="s">
        <v>13</v>
      </c>
    </row>
    <row r="381" spans="1:6">
      <c r="A381">
        <v>376</v>
      </c>
      <c r="B381">
        <v>375.15</v>
      </c>
      <c r="C381">
        <v>0.11312792389723336</v>
      </c>
      <c r="D381">
        <v>31.593428610040359</v>
      </c>
      <c r="E381" s="6" t="s">
        <v>13</v>
      </c>
      <c r="F381" s="6" t="s">
        <v>13</v>
      </c>
    </row>
    <row r="382" spans="1:6">
      <c r="A382">
        <v>377</v>
      </c>
      <c r="B382">
        <v>376.15</v>
      </c>
      <c r="C382">
        <v>0.1125234044640632</v>
      </c>
      <c r="D382">
        <v>31.848083370441518</v>
      </c>
      <c r="E382" s="6" t="s">
        <v>13</v>
      </c>
      <c r="F382" s="6" t="s">
        <v>13</v>
      </c>
    </row>
    <row r="383" spans="1:6">
      <c r="A383">
        <v>378</v>
      </c>
      <c r="B383">
        <v>377.15</v>
      </c>
      <c r="C383">
        <v>0.11193082113531178</v>
      </c>
      <c r="D383">
        <v>32.101606436921202</v>
      </c>
      <c r="E383" s="6" t="s">
        <v>13</v>
      </c>
      <c r="F383" s="6" t="s">
        <v>13</v>
      </c>
    </row>
    <row r="384" spans="1:6">
      <c r="A384">
        <v>379</v>
      </c>
      <c r="B384">
        <v>378.15</v>
      </c>
      <c r="C384">
        <v>0.11135037713585186</v>
      </c>
      <c r="D384">
        <v>32.353963403999131</v>
      </c>
      <c r="E384" s="6" t="s">
        <v>13</v>
      </c>
      <c r="F384" s="6" t="s">
        <v>13</v>
      </c>
    </row>
    <row r="385" spans="1:6">
      <c r="A385">
        <v>380</v>
      </c>
      <c r="B385">
        <v>379.15</v>
      </c>
      <c r="C385">
        <v>0.11078227569055621</v>
      </c>
      <c r="D385">
        <v>32.605119866195054</v>
      </c>
      <c r="E385" s="6" t="s">
        <v>13</v>
      </c>
      <c r="F385" s="6" t="s">
        <v>13</v>
      </c>
    </row>
    <row r="386" spans="1:6">
      <c r="A386">
        <v>381</v>
      </c>
      <c r="B386">
        <v>380.15</v>
      </c>
      <c r="C386">
        <v>0.11022672002429751</v>
      </c>
      <c r="D386">
        <v>32.855041418028705</v>
      </c>
      <c r="E386" s="6" t="s">
        <v>13</v>
      </c>
      <c r="F386" s="6" t="s">
        <v>13</v>
      </c>
    </row>
    <row r="387" spans="1:6">
      <c r="A387">
        <v>382</v>
      </c>
      <c r="B387">
        <v>381.15</v>
      </c>
      <c r="C387">
        <v>0.10968391336194855</v>
      </c>
      <c r="D387">
        <v>33.103693654019814</v>
      </c>
      <c r="E387" s="6" t="s">
        <v>13</v>
      </c>
      <c r="F387" s="6" t="s">
        <v>13</v>
      </c>
    </row>
    <row r="388" spans="1:6">
      <c r="A388">
        <v>383</v>
      </c>
      <c r="B388">
        <v>382.15</v>
      </c>
      <c r="C388">
        <v>0.10915405892838204</v>
      </c>
      <c r="D388">
        <v>33.351042168688117</v>
      </c>
      <c r="E388" s="6" t="s">
        <v>13</v>
      </c>
      <c r="F388" s="6" t="s">
        <v>13</v>
      </c>
    </row>
    <row r="389" spans="1:6">
      <c r="A389">
        <v>384</v>
      </c>
      <c r="B389">
        <v>383.15</v>
      </c>
      <c r="C389">
        <v>0.10863735994847072</v>
      </c>
      <c r="D389">
        <v>33.597052556553351</v>
      </c>
      <c r="E389" s="6" t="s">
        <v>13</v>
      </c>
      <c r="F389" s="6" t="s">
        <v>13</v>
      </c>
    </row>
    <row r="390" spans="1:6">
      <c r="A390">
        <v>385</v>
      </c>
      <c r="B390">
        <v>384.15</v>
      </c>
      <c r="C390">
        <v>0.10813401964708738</v>
      </c>
      <c r="D390">
        <v>33.841690412135257</v>
      </c>
      <c r="E390" s="6" t="s">
        <v>13</v>
      </c>
      <c r="F390" s="6" t="s">
        <v>13</v>
      </c>
    </row>
    <row r="391" spans="1:6">
      <c r="A391">
        <v>386</v>
      </c>
      <c r="B391">
        <v>385.15</v>
      </c>
      <c r="C391">
        <v>0.10764424124910471</v>
      </c>
      <c r="D391">
        <v>34.084921329953566</v>
      </c>
      <c r="E391" s="6" t="s">
        <v>13</v>
      </c>
      <c r="F391" s="6" t="s">
        <v>13</v>
      </c>
    </row>
    <row r="392" spans="1:6">
      <c r="A392">
        <v>387</v>
      </c>
      <c r="B392">
        <v>386.15</v>
      </c>
      <c r="C392">
        <v>0.10716822797939549</v>
      </c>
      <c r="D392">
        <v>34.326710904528014</v>
      </c>
      <c r="E392" s="6" t="s">
        <v>13</v>
      </c>
      <c r="F392" s="6" t="s">
        <v>13</v>
      </c>
    </row>
    <row r="393" spans="1:6">
      <c r="A393">
        <v>388</v>
      </c>
      <c r="B393">
        <v>387.15</v>
      </c>
      <c r="C393">
        <v>0.10670618306283242</v>
      </c>
      <c r="D393">
        <v>34.567024730378336</v>
      </c>
      <c r="E393" s="6" t="s">
        <v>13</v>
      </c>
      <c r="F393" s="6" t="s">
        <v>13</v>
      </c>
    </row>
    <row r="394" spans="1:6">
      <c r="A394">
        <v>389</v>
      </c>
      <c r="B394">
        <v>388.15</v>
      </c>
      <c r="C394">
        <v>0.10625830972428826</v>
      </c>
      <c r="D394">
        <v>34.805828402024261</v>
      </c>
      <c r="E394" s="6" t="s">
        <v>13</v>
      </c>
      <c r="F394" s="6" t="s">
        <v>13</v>
      </c>
    </row>
    <row r="395" spans="1:6">
      <c r="A395">
        <v>390</v>
      </c>
      <c r="B395">
        <v>389.15</v>
      </c>
      <c r="C395">
        <v>0.10582481118863576</v>
      </c>
      <c r="D395">
        <v>35.043087513985526</v>
      </c>
      <c r="E395" s="6" t="s">
        <v>13</v>
      </c>
      <c r="F395" s="6" t="s">
        <v>13</v>
      </c>
    </row>
    <row r="396" spans="1:6">
      <c r="A396">
        <v>391</v>
      </c>
      <c r="B396">
        <v>390.15</v>
      </c>
      <c r="C396">
        <v>0.10540589068074765</v>
      </c>
      <c r="D396">
        <v>35.278767660781888</v>
      </c>
      <c r="E396" s="6" t="s">
        <v>13</v>
      </c>
      <c r="F396" s="6" t="s">
        <v>13</v>
      </c>
    </row>
    <row r="397" spans="1:6">
      <c r="A397">
        <v>392</v>
      </c>
      <c r="B397">
        <v>391.15</v>
      </c>
      <c r="C397">
        <v>0.10500175142549671</v>
      </c>
      <c r="D397">
        <v>35.512834436933055</v>
      </c>
      <c r="E397" s="6" t="s">
        <v>13</v>
      </c>
      <c r="F397" s="6" t="s">
        <v>13</v>
      </c>
    </row>
    <row r="398" spans="1:6">
      <c r="A398">
        <v>393</v>
      </c>
      <c r="B398">
        <v>392.15</v>
      </c>
      <c r="C398">
        <v>0.10461259664775562</v>
      </c>
      <c r="D398">
        <v>35.745253436958784</v>
      </c>
      <c r="E398" s="6" t="s">
        <v>13</v>
      </c>
      <c r="F398" s="6" t="s">
        <v>13</v>
      </c>
    </row>
    <row r="399" spans="1:6">
      <c r="A399">
        <v>394</v>
      </c>
      <c r="B399">
        <v>393.15</v>
      </c>
      <c r="C399">
        <v>0.10423862957239718</v>
      </c>
      <c r="D399">
        <v>35.97599025537879</v>
      </c>
      <c r="E399" s="6" t="s">
        <v>13</v>
      </c>
      <c r="F399" s="6" t="s">
        <v>13</v>
      </c>
    </row>
    <row r="400" spans="1:6">
      <c r="A400">
        <v>395</v>
      </c>
      <c r="B400">
        <v>394.15</v>
      </c>
      <c r="C400">
        <v>0.10388005342429407</v>
      </c>
      <c r="D400">
        <v>36.20501048671283</v>
      </c>
      <c r="E400" s="6" t="s">
        <v>13</v>
      </c>
      <c r="F400" s="6" t="s">
        <v>13</v>
      </c>
    </row>
    <row r="401" spans="1:6">
      <c r="A401">
        <v>396</v>
      </c>
      <c r="B401">
        <v>395.15</v>
      </c>
      <c r="C401">
        <v>0.10353707142831908</v>
      </c>
      <c r="D401">
        <v>36.432279725480626</v>
      </c>
      <c r="E401" s="6" t="s">
        <v>13</v>
      </c>
      <c r="F401" s="6" t="s">
        <v>13</v>
      </c>
    </row>
    <row r="402" spans="1:6">
      <c r="A402">
        <v>397</v>
      </c>
      <c r="B402">
        <v>396.15</v>
      </c>
      <c r="C402">
        <v>0.10320988680934494</v>
      </c>
      <c r="D402">
        <v>36.657763566201915</v>
      </c>
      <c r="E402" s="6" t="s">
        <v>13</v>
      </c>
      <c r="F402" s="6" t="s">
        <v>13</v>
      </c>
    </row>
    <row r="403" spans="1:6">
      <c r="A403">
        <v>398</v>
      </c>
      <c r="B403">
        <v>397.15</v>
      </c>
      <c r="C403">
        <v>0.10289870279224438</v>
      </c>
      <c r="D403">
        <v>36.881427603396432</v>
      </c>
      <c r="E403" s="6" t="s">
        <v>13</v>
      </c>
      <c r="F403" s="6" t="s">
        <v>13</v>
      </c>
    </row>
    <row r="404" spans="1:6">
      <c r="A404">
        <v>399</v>
      </c>
      <c r="B404">
        <v>398.15</v>
      </c>
      <c r="C404">
        <v>0.10260372260189016</v>
      </c>
      <c r="D404">
        <v>37.103237431583914</v>
      </c>
      <c r="E404" s="6" t="s">
        <v>13</v>
      </c>
      <c r="F404" s="6" t="s">
        <v>13</v>
      </c>
    </row>
    <row r="405" spans="1:6">
      <c r="A405">
        <v>400</v>
      </c>
      <c r="B405">
        <v>399.15</v>
      </c>
      <c r="C405">
        <v>0.102325149463155</v>
      </c>
      <c r="D405">
        <v>37.323158645284096</v>
      </c>
      <c r="E405" s="6" t="s">
        <v>13</v>
      </c>
      <c r="F405" s="6" t="s">
        <v>13</v>
      </c>
    </row>
    <row r="406" spans="1:6">
      <c r="A406">
        <v>401</v>
      </c>
      <c r="B406">
        <v>400.15</v>
      </c>
      <c r="C406">
        <v>0.10206318660091168</v>
      </c>
      <c r="D406">
        <v>37.541156839016729</v>
      </c>
      <c r="E406" s="6" t="s">
        <v>13</v>
      </c>
      <c r="F406" s="6" t="s">
        <v>13</v>
      </c>
    </row>
    <row r="407" spans="1:6">
      <c r="A407">
        <v>402</v>
      </c>
      <c r="B407">
        <v>401.15</v>
      </c>
      <c r="C407">
        <v>0.10181803724003288</v>
      </c>
      <c r="D407">
        <v>37.757197607301521</v>
      </c>
      <c r="E407" s="6" t="s">
        <v>13</v>
      </c>
      <c r="F407" s="6" t="s">
        <v>13</v>
      </c>
    </row>
  </sheetData>
  <protectedRanges>
    <protectedRange sqref="H6:K8" name="区域1"/>
  </protectedRanges>
  <mergeCells count="1">
    <mergeCell ref="A4:F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orig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Xiaoxian Yang</cp:lastModifiedBy>
  <dcterms:created xsi:type="dcterms:W3CDTF">2015-06-05T18:19:34Z</dcterms:created>
  <dcterms:modified xsi:type="dcterms:W3CDTF">2024-10-11T14:07:20Z</dcterms:modified>
</cp:coreProperties>
</file>