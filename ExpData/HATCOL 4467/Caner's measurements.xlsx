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Xiaoxian\Github\CubicEOS\ExpData\HATCOL 4467\"/>
    </mc:Choice>
  </mc:AlternateContent>
  <xr:revisionPtr revIDLastSave="0" documentId="13_ncr:1_{9F12578C-9F23-4526-87B5-0471D404823A}" xr6:coauthVersionLast="47" xr6:coauthVersionMax="47" xr10:uidLastSave="{00000000-0000-0000-0000-000000000000}"/>
  <bookViews>
    <workbookView xWindow="-46500" yWindow="1950" windowWidth="13100" windowHeight="12130" activeTab="1" xr2:uid="{00000000-000D-0000-FFFF-FFFF00000000}"/>
  </bookViews>
  <sheets>
    <sheet name="VTD" sheetId="1" r:id="rId1"/>
    <sheet name="Multiple valu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2" l="1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" i="2"/>
  <c r="H4" i="1"/>
  <c r="H5" i="1"/>
  <c r="H6" i="1"/>
  <c r="H7" i="1"/>
  <c r="H3" i="1"/>
  <c r="F4" i="1"/>
  <c r="F5" i="1"/>
  <c r="F6" i="1"/>
  <c r="F7" i="1"/>
  <c r="F3" i="1"/>
</calcChain>
</file>

<file path=xl/sharedStrings.xml><?xml version="1.0" encoding="utf-8"?>
<sst xmlns="http://schemas.openxmlformats.org/spreadsheetml/2006/main" count="24" uniqueCount="15">
  <si>
    <t>Temperature</t>
  </si>
  <si>
    <t>Density</t>
  </si>
  <si>
    <t>SG</t>
  </si>
  <si>
    <t>NVC</t>
  </si>
  <si>
    <t>[g/ccm]</t>
  </si>
  <si>
    <t xml:space="preserve"> [°C]</t>
  </si>
  <si>
    <t>BIG</t>
  </si>
  <si>
    <t>p/bar</t>
  </si>
  <si>
    <t>std%</t>
  </si>
  <si>
    <t>Den:T_K</t>
  </si>
  <si>
    <t>exp</t>
  </si>
  <si>
    <t>REF</t>
  </si>
  <si>
    <t>OMP</t>
  </si>
  <si>
    <t>Vis:T_K</t>
  </si>
  <si>
    <t>SoS:T_K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</si>
</sst>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workbookViewId="0">
      <selection activeCell="C32" sqref="C32"/>
    </sheetView>
  </sheetViews>
  <sheetFormatPr defaultColWidth="8.81640625" defaultRowHeight="14.5" x14ac:dyDescent="0.35"/>
  <cols>
    <col min="1" max="1" width="11.81640625" bestFit="1" customWidth="1"/>
    <col min="7" max="7" width="10.1796875" customWidth="1"/>
  </cols>
  <sheetData>
    <row r="1" spans="1:8" x14ac:dyDescent="0.35">
      <c r="A1" s="1" t="s">
        <v>0</v>
      </c>
      <c r="B1" s="1" t="s">
        <v>1</v>
      </c>
      <c r="C1" s="1" t="s">
        <v>4</v>
      </c>
      <c r="D1" s="1"/>
    </row>
    <row r="2" spans="1:8" x14ac:dyDescent="0.35">
      <c r="A2" s="1" t="s">
        <v>5</v>
      </c>
      <c r="B2" s="1" t="s">
        <v>2</v>
      </c>
      <c r="C2" s="1" t="s">
        <v>3</v>
      </c>
      <c r="D2" s="1" t="s">
        <v>6</v>
      </c>
    </row>
    <row r="3" spans="1:8" x14ac:dyDescent="0.35">
      <c r="A3">
        <v>85</v>
      </c>
      <c r="B3">
        <v>0.96808000000000005</v>
      </c>
      <c r="C3" s="1">
        <v>0.93789999999999996</v>
      </c>
      <c r="D3">
        <v>0.93769000000000002</v>
      </c>
      <c r="F3">
        <f>A3+273.15</f>
        <v>358.15</v>
      </c>
      <c r="G3" s="2">
        <v>100000</v>
      </c>
      <c r="H3">
        <f>C3*1000</f>
        <v>937.9</v>
      </c>
    </row>
    <row r="4" spans="1:8" x14ac:dyDescent="0.35">
      <c r="A4">
        <v>65</v>
      </c>
      <c r="B4">
        <v>0.97080999999999995</v>
      </c>
      <c r="C4" s="1">
        <v>0.95218000000000003</v>
      </c>
      <c r="D4">
        <v>0.95191999999999999</v>
      </c>
      <c r="F4">
        <f t="shared" ref="F4:F7" si="0">A4+273.15</f>
        <v>338.15</v>
      </c>
      <c r="G4" s="2">
        <v>100000</v>
      </c>
      <c r="H4">
        <f t="shared" ref="H4:H7" si="1">C4*1000</f>
        <v>952.18000000000006</v>
      </c>
    </row>
    <row r="5" spans="1:8" x14ac:dyDescent="0.35">
      <c r="A5">
        <v>45</v>
      </c>
      <c r="B5">
        <v>0.97577999999999998</v>
      </c>
      <c r="C5" s="1">
        <v>0.96657999999999999</v>
      </c>
      <c r="D5">
        <v>0.96623000000000003</v>
      </c>
      <c r="F5">
        <f t="shared" si="0"/>
        <v>318.14999999999998</v>
      </c>
      <c r="G5" s="2">
        <v>100000</v>
      </c>
      <c r="H5">
        <f t="shared" si="1"/>
        <v>966.58</v>
      </c>
    </row>
    <row r="6" spans="1:8" x14ac:dyDescent="0.35">
      <c r="A6">
        <v>25</v>
      </c>
      <c r="B6">
        <v>0.98357000000000006</v>
      </c>
      <c r="C6" s="1">
        <v>0.98118000000000005</v>
      </c>
      <c r="D6">
        <v>0.98065999999999998</v>
      </c>
      <c r="F6">
        <f t="shared" si="0"/>
        <v>298.14999999999998</v>
      </c>
      <c r="G6" s="2">
        <v>100000</v>
      </c>
      <c r="H6">
        <f t="shared" si="1"/>
        <v>981.18000000000006</v>
      </c>
    </row>
    <row r="7" spans="1:8" x14ac:dyDescent="0.35">
      <c r="A7">
        <v>5</v>
      </c>
      <c r="B7">
        <v>0.99528000000000005</v>
      </c>
      <c r="C7" s="1">
        <v>0.99587999999999999</v>
      </c>
      <c r="D7">
        <v>0.99524000000000001</v>
      </c>
      <c r="F7">
        <f t="shared" si="0"/>
        <v>278.14999999999998</v>
      </c>
      <c r="G7" s="2">
        <v>100000</v>
      </c>
      <c r="H7">
        <f t="shared" si="1"/>
        <v>995.88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37921-A5C7-4187-83E6-CCDAB1118821}">
  <dimension ref="B1:AA22"/>
  <sheetViews>
    <sheetView tabSelected="1" workbookViewId="0">
      <selection activeCell="L29" sqref="L29"/>
    </sheetView>
  </sheetViews>
  <sheetFormatPr defaultRowHeight="14.5" x14ac:dyDescent="0.35"/>
  <sheetData>
    <row r="1" spans="2:27" x14ac:dyDescent="0.35">
      <c r="B1" t="s">
        <v>7</v>
      </c>
      <c r="C1" t="s">
        <v>8</v>
      </c>
      <c r="D1" t="s">
        <v>9</v>
      </c>
      <c r="E1" t="s">
        <v>8</v>
      </c>
      <c r="F1" t="s">
        <v>10</v>
      </c>
      <c r="G1" t="s">
        <v>11</v>
      </c>
      <c r="H1" t="s">
        <v>12</v>
      </c>
      <c r="I1" t="s">
        <v>13</v>
      </c>
      <c r="J1" t="s">
        <v>8</v>
      </c>
      <c r="K1" t="s">
        <v>10</v>
      </c>
      <c r="L1" t="s">
        <v>11</v>
      </c>
      <c r="M1" t="s">
        <v>12</v>
      </c>
      <c r="N1" t="s">
        <v>14</v>
      </c>
      <c r="O1" t="s">
        <v>8</v>
      </c>
      <c r="P1" t="s">
        <v>10</v>
      </c>
      <c r="Q1" t="s">
        <v>11</v>
      </c>
      <c r="R1" t="s">
        <v>12</v>
      </c>
    </row>
    <row r="2" spans="2:27" x14ac:dyDescent="0.35">
      <c r="B2">
        <v>5.1832260000000003</v>
      </c>
      <c r="C2">
        <v>0.252</v>
      </c>
      <c r="D2">
        <v>278.31400000000002</v>
      </c>
      <c r="E2">
        <v>0</v>
      </c>
      <c r="F2">
        <v>996.35</v>
      </c>
      <c r="G2">
        <v>967.32</v>
      </c>
      <c r="H2">
        <v>987.15800000000002</v>
      </c>
      <c r="I2">
        <v>278.63600000000002</v>
      </c>
      <c r="J2">
        <v>2.9000000000000001E-2</v>
      </c>
      <c r="K2">
        <v>430.54149999999998</v>
      </c>
      <c r="L2">
        <v>151.47059999999999</v>
      </c>
      <c r="M2">
        <v>426.29230000000001</v>
      </c>
      <c r="N2">
        <v>278.99900000000002</v>
      </c>
      <c r="O2">
        <v>1E-3</v>
      </c>
      <c r="P2">
        <v>1454.085</v>
      </c>
      <c r="Q2">
        <v>1456.646</v>
      </c>
      <c r="R2">
        <v>1904.52</v>
      </c>
      <c r="U2">
        <f>I2</f>
        <v>278.63600000000002</v>
      </c>
      <c r="V2">
        <f>B2*100000</f>
        <v>518322.60000000003</v>
      </c>
      <c r="W2">
        <f>K2</f>
        <v>430.54149999999998</v>
      </c>
      <c r="Y2">
        <f>D2</f>
        <v>278.31400000000002</v>
      </c>
      <c r="Z2">
        <f>B2*100000</f>
        <v>518322.60000000003</v>
      </c>
      <c r="AA2">
        <f>F2</f>
        <v>996.35</v>
      </c>
    </row>
    <row r="3" spans="2:27" x14ac:dyDescent="0.35">
      <c r="B3">
        <v>9.9645810000000008</v>
      </c>
      <c r="C3">
        <v>8.7999999999999995E-2</v>
      </c>
      <c r="D3">
        <v>278.31400000000002</v>
      </c>
      <c r="E3">
        <v>0</v>
      </c>
      <c r="F3">
        <v>996.67</v>
      </c>
      <c r="G3">
        <v>967.59</v>
      </c>
      <c r="H3">
        <v>994.577</v>
      </c>
      <c r="I3">
        <v>278.65499999999997</v>
      </c>
      <c r="J3">
        <v>8.9999999999999993E-3</v>
      </c>
      <c r="K3">
        <v>434.13440000000003</v>
      </c>
      <c r="L3">
        <v>152.66970000000001</v>
      </c>
      <c r="M3">
        <v>428.44009999999997</v>
      </c>
      <c r="N3">
        <v>279.00400000000002</v>
      </c>
      <c r="O3">
        <v>0</v>
      </c>
      <c r="P3">
        <v>1456.0709999999999</v>
      </c>
      <c r="Q3">
        <v>1458.6990000000001</v>
      </c>
      <c r="R3">
        <v>1909.7829999999999</v>
      </c>
      <c r="U3">
        <f t="shared" ref="U3:U22" si="0">I3</f>
        <v>278.65499999999997</v>
      </c>
      <c r="V3">
        <f t="shared" ref="V3:V22" si="1">B3*100000</f>
        <v>996458.10000000009</v>
      </c>
      <c r="W3">
        <f t="shared" ref="W3:W22" si="2">K3</f>
        <v>434.13440000000003</v>
      </c>
      <c r="Y3">
        <f t="shared" ref="Y3:Y22" si="3">D3</f>
        <v>278.31400000000002</v>
      </c>
      <c r="Z3">
        <f t="shared" ref="Z3:Z22" si="4">B3*100000</f>
        <v>996458.10000000009</v>
      </c>
      <c r="AA3">
        <f t="shared" ref="AA3:AA22" si="5">F3</f>
        <v>996.67</v>
      </c>
    </row>
    <row r="4" spans="2:27" x14ac:dyDescent="0.35">
      <c r="B4">
        <v>20.053744999999999</v>
      </c>
      <c r="C4">
        <v>4.2999999999999997E-2</v>
      </c>
      <c r="D4">
        <v>278.32299999999998</v>
      </c>
      <c r="E4">
        <v>0</v>
      </c>
      <c r="F4">
        <v>997.35500000000002</v>
      </c>
      <c r="G4">
        <v>968.15099999999995</v>
      </c>
      <c r="H4">
        <v>993.63400000000001</v>
      </c>
      <c r="I4">
        <v>278.64299999999997</v>
      </c>
      <c r="J4">
        <v>8.0000000000000002E-3</v>
      </c>
      <c r="K4">
        <v>443.27690000000001</v>
      </c>
      <c r="L4">
        <v>155.69479999999999</v>
      </c>
      <c r="M4">
        <v>434.52789999999999</v>
      </c>
      <c r="N4">
        <v>279.00200000000001</v>
      </c>
      <c r="O4">
        <v>0</v>
      </c>
      <c r="P4">
        <v>1460.127</v>
      </c>
      <c r="Q4">
        <v>1463.059</v>
      </c>
      <c r="R4">
        <v>1920.991</v>
      </c>
      <c r="U4">
        <f t="shared" si="0"/>
        <v>278.64299999999997</v>
      </c>
      <c r="V4">
        <f t="shared" si="1"/>
        <v>2005374.5</v>
      </c>
      <c r="W4">
        <f t="shared" si="2"/>
        <v>443.27690000000001</v>
      </c>
      <c r="Y4">
        <f t="shared" si="3"/>
        <v>278.32299999999998</v>
      </c>
      <c r="Z4">
        <f t="shared" si="4"/>
        <v>2005374.5</v>
      </c>
      <c r="AA4">
        <f t="shared" si="5"/>
        <v>997.35500000000002</v>
      </c>
    </row>
    <row r="5" spans="2:27" x14ac:dyDescent="0.35">
      <c r="B5">
        <v>29.88279</v>
      </c>
      <c r="C5">
        <v>3.4000000000000002E-2</v>
      </c>
      <c r="D5">
        <v>278.31799999999998</v>
      </c>
      <c r="E5">
        <v>0</v>
      </c>
      <c r="F5">
        <v>998.02099999999996</v>
      </c>
      <c r="G5">
        <v>968.70500000000004</v>
      </c>
      <c r="H5">
        <v>992.81100000000004</v>
      </c>
      <c r="I5">
        <v>278.65100000000001</v>
      </c>
      <c r="J5">
        <v>0.01</v>
      </c>
      <c r="K5">
        <v>451.96449999999999</v>
      </c>
      <c r="L5">
        <v>158.50360000000001</v>
      </c>
      <c r="M5">
        <v>439.91090000000003</v>
      </c>
      <c r="N5">
        <v>279.00099999999998</v>
      </c>
      <c r="O5">
        <v>0</v>
      </c>
      <c r="P5">
        <v>1464.1679999999999</v>
      </c>
      <c r="Q5">
        <v>1467.278</v>
      </c>
      <c r="R5">
        <v>1931.885</v>
      </c>
      <c r="U5">
        <f t="shared" si="0"/>
        <v>278.65100000000001</v>
      </c>
      <c r="V5">
        <f t="shared" si="1"/>
        <v>2988279</v>
      </c>
      <c r="W5">
        <f t="shared" si="2"/>
        <v>451.96449999999999</v>
      </c>
      <c r="Y5">
        <f t="shared" si="3"/>
        <v>278.31799999999998</v>
      </c>
      <c r="Z5">
        <f t="shared" si="4"/>
        <v>2988279</v>
      </c>
      <c r="AA5">
        <f t="shared" si="5"/>
        <v>998.02099999999996</v>
      </c>
    </row>
    <row r="6" spans="2:27" x14ac:dyDescent="0.35">
      <c r="B6">
        <v>5.5938929999999996</v>
      </c>
      <c r="C6">
        <v>0.17100000000000001</v>
      </c>
      <c r="D6">
        <v>288.27100000000002</v>
      </c>
      <c r="E6">
        <v>0</v>
      </c>
      <c r="F6">
        <v>988.70600000000002</v>
      </c>
      <c r="G6">
        <v>959.57500000000005</v>
      </c>
      <c r="H6">
        <v>982.29899999999998</v>
      </c>
      <c r="I6">
        <v>288.47399999999999</v>
      </c>
      <c r="J6">
        <v>1.0999999999999999E-2</v>
      </c>
      <c r="K6">
        <v>230.09549999999999</v>
      </c>
      <c r="L6">
        <v>88.115099999999998</v>
      </c>
      <c r="M6">
        <v>228.61009999999999</v>
      </c>
      <c r="N6">
        <v>288.89</v>
      </c>
      <c r="O6">
        <v>0</v>
      </c>
      <c r="P6">
        <v>1419.2470000000001</v>
      </c>
      <c r="Q6">
        <v>1422.3869999999999</v>
      </c>
      <c r="R6">
        <v>1821.21</v>
      </c>
      <c r="U6">
        <f t="shared" si="0"/>
        <v>288.47399999999999</v>
      </c>
      <c r="V6">
        <f t="shared" si="1"/>
        <v>559389.29999999993</v>
      </c>
      <c r="W6">
        <f t="shared" si="2"/>
        <v>230.09549999999999</v>
      </c>
      <c r="Y6">
        <f t="shared" si="3"/>
        <v>288.27100000000002</v>
      </c>
      <c r="Z6">
        <f t="shared" si="4"/>
        <v>559389.29999999993</v>
      </c>
      <c r="AA6">
        <f t="shared" si="5"/>
        <v>988.70600000000002</v>
      </c>
    </row>
    <row r="7" spans="2:27" x14ac:dyDescent="0.35">
      <c r="B7">
        <v>10.294200999999999</v>
      </c>
      <c r="C7">
        <v>8.8999999999999996E-2</v>
      </c>
      <c r="D7">
        <v>288.27300000000002</v>
      </c>
      <c r="E7">
        <v>0</v>
      </c>
      <c r="F7">
        <v>989.029</v>
      </c>
      <c r="G7">
        <v>959.851</v>
      </c>
      <c r="H7">
        <v>990.15200000000004</v>
      </c>
      <c r="I7">
        <v>288.47199999999998</v>
      </c>
      <c r="J7">
        <v>1.2999999999999999E-2</v>
      </c>
      <c r="K7">
        <v>232.17529999999999</v>
      </c>
      <c r="L7">
        <v>88.888199999999998</v>
      </c>
      <c r="M7">
        <v>230.0051</v>
      </c>
      <c r="N7">
        <v>288.88499999999999</v>
      </c>
      <c r="O7">
        <v>0</v>
      </c>
      <c r="P7">
        <v>1421.2860000000001</v>
      </c>
      <c r="Q7">
        <v>1424.491</v>
      </c>
      <c r="R7">
        <v>1826.422</v>
      </c>
      <c r="U7">
        <f t="shared" si="0"/>
        <v>288.47199999999998</v>
      </c>
      <c r="V7">
        <f t="shared" si="1"/>
        <v>1029420.1</v>
      </c>
      <c r="W7">
        <f t="shared" si="2"/>
        <v>232.17529999999999</v>
      </c>
      <c r="Y7">
        <f t="shared" si="3"/>
        <v>288.27300000000002</v>
      </c>
      <c r="Z7">
        <f t="shared" si="4"/>
        <v>1029420.1</v>
      </c>
      <c r="AA7">
        <f t="shared" si="5"/>
        <v>989.029</v>
      </c>
    </row>
    <row r="8" spans="2:27" x14ac:dyDescent="0.35">
      <c r="B8">
        <v>19.974958000000001</v>
      </c>
      <c r="C8">
        <v>4.1000000000000002E-2</v>
      </c>
      <c r="D8">
        <v>288.27199999999999</v>
      </c>
      <c r="E8">
        <v>0</v>
      </c>
      <c r="F8">
        <v>989.702</v>
      </c>
      <c r="G8">
        <v>960.42</v>
      </c>
      <c r="H8">
        <v>988.98400000000004</v>
      </c>
      <c r="I8">
        <v>288.47800000000001</v>
      </c>
      <c r="J8">
        <v>1.2999999999999999E-2</v>
      </c>
      <c r="K8">
        <v>236.49260000000001</v>
      </c>
      <c r="L8">
        <v>90.447299999999998</v>
      </c>
      <c r="M8">
        <v>232.74629999999999</v>
      </c>
      <c r="N8">
        <v>288.89299999999997</v>
      </c>
      <c r="O8">
        <v>0</v>
      </c>
      <c r="P8">
        <v>1425.395</v>
      </c>
      <c r="Q8">
        <v>1428.749</v>
      </c>
      <c r="R8">
        <v>1837.008</v>
      </c>
      <c r="U8">
        <f t="shared" si="0"/>
        <v>288.47800000000001</v>
      </c>
      <c r="V8">
        <f t="shared" si="1"/>
        <v>1997495.8</v>
      </c>
      <c r="W8">
        <f t="shared" si="2"/>
        <v>236.49260000000001</v>
      </c>
      <c r="Y8">
        <f t="shared" si="3"/>
        <v>288.27199999999999</v>
      </c>
      <c r="Z8">
        <f t="shared" si="4"/>
        <v>1997495.8</v>
      </c>
      <c r="AA8">
        <f t="shared" si="5"/>
        <v>989.702</v>
      </c>
    </row>
    <row r="9" spans="2:27" x14ac:dyDescent="0.35">
      <c r="B9">
        <v>30.058053000000001</v>
      </c>
      <c r="C9">
        <v>3.2000000000000001E-2</v>
      </c>
      <c r="D9">
        <v>288.27199999999999</v>
      </c>
      <c r="E9">
        <v>0</v>
      </c>
      <c r="F9">
        <v>990.40200000000004</v>
      </c>
      <c r="G9">
        <v>961.00800000000004</v>
      </c>
      <c r="H9">
        <v>987.89499999999998</v>
      </c>
      <c r="I9">
        <v>288.48700000000002</v>
      </c>
      <c r="J9">
        <v>0.03</v>
      </c>
      <c r="K9">
        <v>240.9932</v>
      </c>
      <c r="L9">
        <v>92.083799999999997</v>
      </c>
      <c r="M9">
        <v>235.5882</v>
      </c>
      <c r="N9">
        <v>288.887</v>
      </c>
      <c r="O9">
        <v>1E-3</v>
      </c>
      <c r="P9">
        <v>1429.6890000000001</v>
      </c>
      <c r="Q9">
        <v>1433.2080000000001</v>
      </c>
      <c r="R9">
        <v>1848.136</v>
      </c>
      <c r="U9">
        <f t="shared" si="0"/>
        <v>288.48700000000002</v>
      </c>
      <c r="V9">
        <f t="shared" si="1"/>
        <v>3005805.3000000003</v>
      </c>
      <c r="W9">
        <f t="shared" si="2"/>
        <v>240.9932</v>
      </c>
      <c r="Y9">
        <f t="shared" si="3"/>
        <v>288.27199999999999</v>
      </c>
      <c r="Z9">
        <f t="shared" si="4"/>
        <v>3005805.3000000003</v>
      </c>
      <c r="AA9">
        <f t="shared" si="5"/>
        <v>990.40200000000004</v>
      </c>
    </row>
    <row r="10" spans="2:27" x14ac:dyDescent="0.35">
      <c r="B10">
        <v>5.8513869999999999</v>
      </c>
      <c r="C10">
        <v>0.215</v>
      </c>
      <c r="D10">
        <v>298.29199999999997</v>
      </c>
      <c r="E10">
        <v>0</v>
      </c>
      <c r="F10">
        <v>981.21699999999998</v>
      </c>
      <c r="G10">
        <v>951.88800000000003</v>
      </c>
      <c r="H10">
        <v>977.26599999999996</v>
      </c>
      <c r="I10">
        <v>298.70999999999998</v>
      </c>
      <c r="J10">
        <v>9.2999999999999999E-2</v>
      </c>
      <c r="K10">
        <v>130.3075</v>
      </c>
      <c r="L10">
        <v>53.226999999999997</v>
      </c>
      <c r="M10">
        <v>129.74420000000001</v>
      </c>
      <c r="N10">
        <v>299.03399999999999</v>
      </c>
      <c r="O10">
        <v>1E-3</v>
      </c>
      <c r="P10">
        <v>1385.251</v>
      </c>
      <c r="Q10">
        <v>1388.2190000000001</v>
      </c>
      <c r="R10">
        <v>1739.9449999999999</v>
      </c>
      <c r="U10">
        <f t="shared" si="0"/>
        <v>298.70999999999998</v>
      </c>
      <c r="V10">
        <f t="shared" si="1"/>
        <v>585138.69999999995</v>
      </c>
      <c r="W10">
        <f t="shared" si="2"/>
        <v>130.3075</v>
      </c>
      <c r="Y10">
        <f t="shared" si="3"/>
        <v>298.29199999999997</v>
      </c>
      <c r="Z10">
        <f t="shared" si="4"/>
        <v>585138.69999999995</v>
      </c>
      <c r="AA10">
        <f t="shared" si="5"/>
        <v>981.21699999999998</v>
      </c>
    </row>
    <row r="11" spans="2:27" x14ac:dyDescent="0.35">
      <c r="B11">
        <v>10.882013000000001</v>
      </c>
      <c r="C11">
        <v>0.09</v>
      </c>
      <c r="D11">
        <v>298.29399999999998</v>
      </c>
      <c r="E11">
        <v>0</v>
      </c>
      <c r="F11">
        <v>981.57600000000002</v>
      </c>
      <c r="G11">
        <v>952.19600000000003</v>
      </c>
      <c r="H11">
        <v>985.95</v>
      </c>
      <c r="I11">
        <v>298.72399999999999</v>
      </c>
      <c r="J11">
        <v>9.1999999999999998E-2</v>
      </c>
      <c r="K11">
        <v>131.41050000000001</v>
      </c>
      <c r="L11">
        <v>53.663499999999999</v>
      </c>
      <c r="M11">
        <v>130.44720000000001</v>
      </c>
      <c r="N11">
        <v>299.041</v>
      </c>
      <c r="O11">
        <v>1E-3</v>
      </c>
      <c r="P11">
        <v>1387.473</v>
      </c>
      <c r="Q11">
        <v>1390.4929999999999</v>
      </c>
      <c r="R11">
        <v>1745.3879999999999</v>
      </c>
      <c r="U11">
        <f t="shared" si="0"/>
        <v>298.72399999999999</v>
      </c>
      <c r="V11">
        <f t="shared" si="1"/>
        <v>1088201.3</v>
      </c>
      <c r="W11">
        <f t="shared" si="2"/>
        <v>131.41050000000001</v>
      </c>
      <c r="Y11">
        <f t="shared" si="3"/>
        <v>298.29399999999998</v>
      </c>
      <c r="Z11">
        <f t="shared" si="4"/>
        <v>1088201.3</v>
      </c>
      <c r="AA11">
        <f t="shared" si="5"/>
        <v>981.57600000000002</v>
      </c>
    </row>
    <row r="12" spans="2:27" x14ac:dyDescent="0.35">
      <c r="B12">
        <v>20.874179000000002</v>
      </c>
      <c r="C12">
        <v>5.5E-2</v>
      </c>
      <c r="D12">
        <v>298.29700000000003</v>
      </c>
      <c r="E12">
        <v>0</v>
      </c>
      <c r="F12">
        <v>982.29100000000005</v>
      </c>
      <c r="G12">
        <v>952.80499999999995</v>
      </c>
      <c r="H12">
        <v>984.37300000000005</v>
      </c>
      <c r="I12">
        <v>298.745</v>
      </c>
      <c r="J12">
        <v>0.107</v>
      </c>
      <c r="K12">
        <v>133.68639999999999</v>
      </c>
      <c r="L12">
        <v>54.555999999999997</v>
      </c>
      <c r="M12">
        <v>131.89400000000001</v>
      </c>
      <c r="N12">
        <v>299.04700000000003</v>
      </c>
      <c r="O12">
        <v>1E-3</v>
      </c>
      <c r="P12">
        <v>1391.87</v>
      </c>
      <c r="Q12">
        <v>1395.011</v>
      </c>
      <c r="R12">
        <v>1756.24</v>
      </c>
      <c r="U12">
        <f t="shared" si="0"/>
        <v>298.745</v>
      </c>
      <c r="V12">
        <f t="shared" si="1"/>
        <v>2087417.9000000001</v>
      </c>
      <c r="W12">
        <f t="shared" si="2"/>
        <v>133.68639999999999</v>
      </c>
      <c r="Y12">
        <f t="shared" si="3"/>
        <v>298.29700000000003</v>
      </c>
      <c r="Z12">
        <f t="shared" si="4"/>
        <v>2087417.9000000001</v>
      </c>
      <c r="AA12">
        <f t="shared" si="5"/>
        <v>982.29100000000005</v>
      </c>
    </row>
    <row r="13" spans="2:27" x14ac:dyDescent="0.35">
      <c r="B13">
        <v>30.038356</v>
      </c>
      <c r="C13">
        <v>3.4000000000000002E-2</v>
      </c>
      <c r="D13">
        <v>298.29899999999998</v>
      </c>
      <c r="E13">
        <v>0</v>
      </c>
      <c r="F13">
        <v>982.94600000000003</v>
      </c>
      <c r="G13">
        <v>953.36199999999997</v>
      </c>
      <c r="H13">
        <v>983.09299999999996</v>
      </c>
      <c r="I13">
        <v>298.74299999999999</v>
      </c>
      <c r="J13">
        <v>9.4E-2</v>
      </c>
      <c r="K13">
        <v>135.80879999999999</v>
      </c>
      <c r="L13">
        <v>55.4373</v>
      </c>
      <c r="M13">
        <v>133.36660000000001</v>
      </c>
      <c r="N13">
        <v>299.04899999999998</v>
      </c>
      <c r="O13">
        <v>1E-3</v>
      </c>
      <c r="P13">
        <v>1395.8789999999999</v>
      </c>
      <c r="Q13">
        <v>1399.1420000000001</v>
      </c>
      <c r="R13">
        <v>1766.2059999999999</v>
      </c>
      <c r="U13">
        <f t="shared" si="0"/>
        <v>298.74299999999999</v>
      </c>
      <c r="V13">
        <f t="shared" si="1"/>
        <v>3003835.6</v>
      </c>
      <c r="W13">
        <f t="shared" si="2"/>
        <v>135.80879999999999</v>
      </c>
      <c r="Y13">
        <f t="shared" si="3"/>
        <v>298.29899999999998</v>
      </c>
      <c r="Z13">
        <f t="shared" si="4"/>
        <v>3003835.6</v>
      </c>
      <c r="AA13">
        <f t="shared" si="5"/>
        <v>982.94600000000003</v>
      </c>
    </row>
    <row r="14" spans="2:27" x14ac:dyDescent="0.35">
      <c r="B14">
        <v>3.110951</v>
      </c>
      <c r="C14">
        <v>1.093</v>
      </c>
      <c r="D14">
        <v>313.18799999999999</v>
      </c>
      <c r="E14">
        <v>0</v>
      </c>
      <c r="F14">
        <v>970.08</v>
      </c>
      <c r="G14">
        <v>940.44799999999998</v>
      </c>
      <c r="H14">
        <v>969.43100000000004</v>
      </c>
      <c r="I14">
        <v>313.68200000000002</v>
      </c>
      <c r="J14">
        <v>2.5000000000000001E-2</v>
      </c>
      <c r="K14">
        <v>64.218599999999995</v>
      </c>
      <c r="L14">
        <v>28.380299999999998</v>
      </c>
      <c r="M14">
        <v>63.966999999999999</v>
      </c>
      <c r="N14">
        <v>313.99700000000001</v>
      </c>
      <c r="O14">
        <v>1E-3</v>
      </c>
      <c r="P14">
        <v>1335.7470000000001</v>
      </c>
      <c r="Q14">
        <v>1338.079</v>
      </c>
      <c r="R14">
        <v>1624.0830000000001</v>
      </c>
      <c r="U14">
        <f t="shared" si="0"/>
        <v>313.68200000000002</v>
      </c>
      <c r="V14">
        <f t="shared" si="1"/>
        <v>311095.09999999998</v>
      </c>
      <c r="W14">
        <f t="shared" si="2"/>
        <v>64.218599999999995</v>
      </c>
      <c r="Y14">
        <f t="shared" si="3"/>
        <v>313.18799999999999</v>
      </c>
      <c r="Z14">
        <f t="shared" si="4"/>
        <v>311095.09999999998</v>
      </c>
      <c r="AA14">
        <f t="shared" si="5"/>
        <v>970.08</v>
      </c>
    </row>
    <row r="15" spans="2:27" x14ac:dyDescent="0.35">
      <c r="B15">
        <v>10.021882</v>
      </c>
      <c r="C15">
        <v>0.107</v>
      </c>
      <c r="D15">
        <v>313.18799999999999</v>
      </c>
      <c r="E15">
        <v>0</v>
      </c>
      <c r="F15">
        <v>970.60299999999995</v>
      </c>
      <c r="G15">
        <v>940.90200000000004</v>
      </c>
      <c r="H15">
        <v>969.69200000000001</v>
      </c>
      <c r="I15">
        <v>313.7</v>
      </c>
      <c r="J15">
        <v>2.3E-2</v>
      </c>
      <c r="K15">
        <v>64.915099999999995</v>
      </c>
      <c r="L15">
        <v>28.673999999999999</v>
      </c>
      <c r="M15">
        <v>64.428799999999995</v>
      </c>
      <c r="N15">
        <v>314.00099999999998</v>
      </c>
      <c r="O15">
        <v>0</v>
      </c>
      <c r="P15">
        <v>1338.991</v>
      </c>
      <c r="Q15">
        <v>1341.355</v>
      </c>
      <c r="R15">
        <v>1631.5360000000001</v>
      </c>
      <c r="U15">
        <f t="shared" si="0"/>
        <v>313.7</v>
      </c>
      <c r="V15">
        <f t="shared" si="1"/>
        <v>1002188.2</v>
      </c>
      <c r="W15">
        <f t="shared" si="2"/>
        <v>64.915099999999995</v>
      </c>
      <c r="Y15">
        <f t="shared" si="3"/>
        <v>313.18799999999999</v>
      </c>
      <c r="Z15">
        <f t="shared" si="4"/>
        <v>1002188.2</v>
      </c>
      <c r="AA15">
        <f t="shared" si="5"/>
        <v>970.60299999999995</v>
      </c>
    </row>
    <row r="16" spans="2:27" x14ac:dyDescent="0.35">
      <c r="B16">
        <v>20.041321</v>
      </c>
      <c r="C16">
        <v>4.8000000000000001E-2</v>
      </c>
      <c r="D16">
        <v>313.19299999999998</v>
      </c>
      <c r="E16">
        <v>0</v>
      </c>
      <c r="F16">
        <v>971.35500000000002</v>
      </c>
      <c r="G16">
        <v>941.55200000000002</v>
      </c>
      <c r="H16">
        <v>978.85599999999999</v>
      </c>
      <c r="I16">
        <v>313.68799999999999</v>
      </c>
      <c r="J16">
        <v>1.4999999999999999E-2</v>
      </c>
      <c r="K16">
        <v>66.089399999999998</v>
      </c>
      <c r="L16">
        <v>29.145900000000001</v>
      </c>
      <c r="M16">
        <v>65.206699999999998</v>
      </c>
      <c r="N16">
        <v>314</v>
      </c>
      <c r="O16">
        <v>1E-3</v>
      </c>
      <c r="P16">
        <v>1343.6679999999999</v>
      </c>
      <c r="Q16">
        <v>1346.097</v>
      </c>
      <c r="R16">
        <v>1642.364</v>
      </c>
      <c r="U16">
        <f t="shared" si="0"/>
        <v>313.68799999999999</v>
      </c>
      <c r="V16">
        <f t="shared" si="1"/>
        <v>2004132.1</v>
      </c>
      <c r="W16">
        <f t="shared" si="2"/>
        <v>66.089399999999998</v>
      </c>
      <c r="Y16">
        <f t="shared" si="3"/>
        <v>313.19299999999998</v>
      </c>
      <c r="Z16">
        <f t="shared" si="4"/>
        <v>2004132.1</v>
      </c>
      <c r="AA16">
        <f t="shared" si="5"/>
        <v>971.35500000000002</v>
      </c>
    </row>
    <row r="17" spans="2:27" x14ac:dyDescent="0.35">
      <c r="B17">
        <v>30.558312999999998</v>
      </c>
      <c r="C17">
        <v>3.5999999999999997E-2</v>
      </c>
      <c r="D17">
        <v>313.18799999999999</v>
      </c>
      <c r="E17">
        <v>0</v>
      </c>
      <c r="F17">
        <v>972.15300000000002</v>
      </c>
      <c r="G17">
        <v>942.23599999999999</v>
      </c>
      <c r="H17">
        <v>976.60599999999999</v>
      </c>
      <c r="I17">
        <v>313.67899999999997</v>
      </c>
      <c r="J17">
        <v>1.7000000000000001E-2</v>
      </c>
      <c r="K17">
        <v>67.364199999999997</v>
      </c>
      <c r="L17">
        <v>29.6435</v>
      </c>
      <c r="M17">
        <v>66.015100000000004</v>
      </c>
      <c r="N17">
        <v>313.97199999999998</v>
      </c>
      <c r="O17">
        <v>0</v>
      </c>
      <c r="P17">
        <v>1348.59</v>
      </c>
      <c r="Q17">
        <v>1351.126</v>
      </c>
      <c r="R17">
        <v>1653.905</v>
      </c>
      <c r="U17">
        <f t="shared" si="0"/>
        <v>313.67899999999997</v>
      </c>
      <c r="V17">
        <f t="shared" si="1"/>
        <v>3055831.3</v>
      </c>
      <c r="W17">
        <f t="shared" si="2"/>
        <v>67.364199999999997</v>
      </c>
      <c r="Y17">
        <f t="shared" si="3"/>
        <v>313.18799999999999</v>
      </c>
      <c r="Z17">
        <f t="shared" si="4"/>
        <v>3055831.3</v>
      </c>
      <c r="AA17">
        <f t="shared" si="5"/>
        <v>972.15300000000002</v>
      </c>
    </row>
    <row r="18" spans="2:27" x14ac:dyDescent="0.35">
      <c r="B18">
        <v>7.1267690000000004</v>
      </c>
      <c r="C18">
        <v>0.156</v>
      </c>
      <c r="D18">
        <v>323.15100000000001</v>
      </c>
      <c r="E18">
        <v>0</v>
      </c>
      <c r="F18">
        <v>963.17200000000003</v>
      </c>
      <c r="G18">
        <v>933.29899999999998</v>
      </c>
      <c r="H18">
        <v>964.24800000000005</v>
      </c>
      <c r="I18">
        <v>323.50099999999998</v>
      </c>
      <c r="J18">
        <v>2.4E-2</v>
      </c>
      <c r="K18">
        <v>43.455800000000004</v>
      </c>
      <c r="L18">
        <v>20.294599999999999</v>
      </c>
      <c r="M18">
        <v>43.302199999999999</v>
      </c>
      <c r="N18">
        <v>323.89</v>
      </c>
      <c r="O18">
        <v>0</v>
      </c>
      <c r="P18">
        <v>1306.8810000000001</v>
      </c>
      <c r="Q18">
        <v>1308.761</v>
      </c>
      <c r="R18">
        <v>1558.2539999999999</v>
      </c>
      <c r="U18">
        <f t="shared" si="0"/>
        <v>323.50099999999998</v>
      </c>
      <c r="V18">
        <f t="shared" si="1"/>
        <v>712676.9</v>
      </c>
      <c r="W18">
        <f t="shared" si="2"/>
        <v>43.455800000000004</v>
      </c>
      <c r="Y18">
        <f t="shared" si="3"/>
        <v>323.15100000000001</v>
      </c>
      <c r="Z18">
        <f t="shared" si="4"/>
        <v>712676.9</v>
      </c>
      <c r="AA18">
        <f t="shared" si="5"/>
        <v>963.17200000000003</v>
      </c>
    </row>
    <row r="19" spans="2:27" x14ac:dyDescent="0.35">
      <c r="B19">
        <v>12.616611000000001</v>
      </c>
      <c r="C19">
        <v>7.9000000000000001E-2</v>
      </c>
      <c r="D19">
        <v>323.14699999999999</v>
      </c>
      <c r="E19">
        <v>0</v>
      </c>
      <c r="F19">
        <v>963.60699999999997</v>
      </c>
      <c r="G19">
        <v>933.67700000000002</v>
      </c>
      <c r="H19">
        <v>964.423</v>
      </c>
      <c r="I19">
        <v>323.49299999999999</v>
      </c>
      <c r="J19">
        <v>2.8000000000000001E-2</v>
      </c>
      <c r="K19">
        <v>43.898899999999998</v>
      </c>
      <c r="L19">
        <v>20.465199999999999</v>
      </c>
      <c r="M19">
        <v>43.580500000000001</v>
      </c>
      <c r="N19">
        <v>323.87700000000001</v>
      </c>
      <c r="O19">
        <v>0</v>
      </c>
      <c r="P19">
        <v>1309.5920000000001</v>
      </c>
      <c r="Q19">
        <v>1311.48</v>
      </c>
      <c r="R19">
        <v>1564.25</v>
      </c>
      <c r="U19">
        <f t="shared" si="0"/>
        <v>323.49299999999999</v>
      </c>
      <c r="V19">
        <f t="shared" si="1"/>
        <v>1261661.1000000001</v>
      </c>
      <c r="W19">
        <f t="shared" si="2"/>
        <v>43.898899999999998</v>
      </c>
      <c r="Y19">
        <f t="shared" si="3"/>
        <v>323.14699999999999</v>
      </c>
      <c r="Z19">
        <f t="shared" si="4"/>
        <v>1261661.1000000001</v>
      </c>
      <c r="AA19">
        <f t="shared" si="5"/>
        <v>963.60699999999997</v>
      </c>
    </row>
    <row r="20" spans="2:27" x14ac:dyDescent="0.35">
      <c r="B20">
        <v>17.59806</v>
      </c>
      <c r="C20">
        <v>5.8999999999999997E-2</v>
      </c>
      <c r="D20">
        <v>323.15600000000001</v>
      </c>
      <c r="E20">
        <v>0</v>
      </c>
      <c r="F20">
        <v>963.99</v>
      </c>
      <c r="G20">
        <v>934.00900000000001</v>
      </c>
      <c r="H20">
        <v>977.25800000000004</v>
      </c>
      <c r="I20">
        <v>323.49700000000001</v>
      </c>
      <c r="J20">
        <v>2.5999999999999999E-2</v>
      </c>
      <c r="K20">
        <v>44.254100000000001</v>
      </c>
      <c r="L20">
        <v>20.613700000000001</v>
      </c>
      <c r="M20">
        <v>43.815800000000003</v>
      </c>
      <c r="N20">
        <v>323.88400000000001</v>
      </c>
      <c r="O20">
        <v>0</v>
      </c>
      <c r="P20">
        <v>1311.971</v>
      </c>
      <c r="Q20">
        <v>1313.8779999999999</v>
      </c>
      <c r="R20">
        <v>1569.5509999999999</v>
      </c>
      <c r="U20">
        <f t="shared" si="0"/>
        <v>323.49700000000001</v>
      </c>
      <c r="V20">
        <f t="shared" si="1"/>
        <v>1759806</v>
      </c>
      <c r="W20">
        <f t="shared" si="2"/>
        <v>44.254100000000001</v>
      </c>
      <c r="Y20">
        <f t="shared" si="3"/>
        <v>323.15600000000001</v>
      </c>
      <c r="Z20">
        <f t="shared" si="4"/>
        <v>1759806</v>
      </c>
      <c r="AA20">
        <f t="shared" si="5"/>
        <v>963.99</v>
      </c>
    </row>
    <row r="21" spans="2:27" x14ac:dyDescent="0.35">
      <c r="B21">
        <v>22.525763999999999</v>
      </c>
      <c r="C21">
        <v>4.3999999999999997E-2</v>
      </c>
      <c r="D21">
        <v>323.15600000000001</v>
      </c>
      <c r="E21">
        <v>0</v>
      </c>
      <c r="F21">
        <v>964.37400000000002</v>
      </c>
      <c r="G21">
        <v>934.34299999999996</v>
      </c>
      <c r="H21">
        <v>975.63300000000004</v>
      </c>
      <c r="I21">
        <v>323.495</v>
      </c>
      <c r="J21">
        <v>2.5000000000000001E-2</v>
      </c>
      <c r="K21">
        <v>44.619700000000002</v>
      </c>
      <c r="L21">
        <v>20.765499999999999</v>
      </c>
      <c r="M21">
        <v>44.058700000000002</v>
      </c>
      <c r="N21">
        <v>323.88499999999999</v>
      </c>
      <c r="O21">
        <v>0</v>
      </c>
      <c r="P21">
        <v>1314.329</v>
      </c>
      <c r="Q21">
        <v>1316.2570000000001</v>
      </c>
      <c r="R21">
        <v>1574.825</v>
      </c>
      <c r="U21">
        <f t="shared" si="0"/>
        <v>323.495</v>
      </c>
      <c r="V21">
        <f t="shared" si="1"/>
        <v>2252576.4</v>
      </c>
      <c r="W21">
        <f t="shared" si="2"/>
        <v>44.619700000000002</v>
      </c>
      <c r="Y21">
        <f t="shared" si="3"/>
        <v>323.15600000000001</v>
      </c>
      <c r="Z21">
        <f t="shared" si="4"/>
        <v>2252576.4</v>
      </c>
      <c r="AA21">
        <f t="shared" si="5"/>
        <v>964.37400000000002</v>
      </c>
    </row>
    <row r="22" spans="2:27" x14ac:dyDescent="0.35">
      <c r="B22">
        <v>29.995273999999998</v>
      </c>
      <c r="C22">
        <v>3.3000000000000002E-2</v>
      </c>
      <c r="D22">
        <v>323.154</v>
      </c>
      <c r="E22">
        <v>0</v>
      </c>
      <c r="F22">
        <v>964.95799999999997</v>
      </c>
      <c r="G22">
        <v>934.84900000000005</v>
      </c>
      <c r="H22">
        <v>973.45699999999999</v>
      </c>
      <c r="I22">
        <v>323.50200000000001</v>
      </c>
      <c r="J22">
        <v>2.8000000000000001E-2</v>
      </c>
      <c r="K22">
        <v>45.1569</v>
      </c>
      <c r="L22">
        <v>20.989899999999999</v>
      </c>
      <c r="M22">
        <v>44.409599999999998</v>
      </c>
      <c r="N22">
        <v>323.88400000000001</v>
      </c>
      <c r="O22">
        <v>0</v>
      </c>
      <c r="P22">
        <v>1317.8920000000001</v>
      </c>
      <c r="Q22">
        <v>1319.86</v>
      </c>
      <c r="R22">
        <v>1582.8309999999999</v>
      </c>
      <c r="U22">
        <f t="shared" si="0"/>
        <v>323.50200000000001</v>
      </c>
      <c r="V22">
        <f t="shared" si="1"/>
        <v>2999527.4</v>
      </c>
      <c r="W22">
        <f t="shared" si="2"/>
        <v>45.1569</v>
      </c>
      <c r="Y22">
        <f t="shared" si="3"/>
        <v>323.154</v>
      </c>
      <c r="Z22">
        <f t="shared" si="4"/>
        <v>2999527.4</v>
      </c>
      <c r="AA22">
        <f t="shared" si="5"/>
        <v>964.95799999999997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VTD</vt:lpstr>
      <vt:lpstr>Multiple 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Caner Cikmaz</dc:creator>
  <cp:lastModifiedBy>Xiaoxian Yang</cp:lastModifiedBy>
  <dcterms:created xsi:type="dcterms:W3CDTF">2015-06-05T18:19:34Z</dcterms:created>
  <dcterms:modified xsi:type="dcterms:W3CDTF">2025-08-07T13:54:16Z</dcterms:modified>
</cp:coreProperties>
</file>